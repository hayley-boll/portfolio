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7"/>
  <workbookPr/>
  <mc:AlternateContent xmlns:mc="http://schemas.openxmlformats.org/markup-compatibility/2006">
    <mc:Choice Requires="x15">
      <x15ac:absPath xmlns:x15ac="http://schemas.microsoft.com/office/spreadsheetml/2010/11/ac" url="C:\Users\18177\Documents\"/>
    </mc:Choice>
  </mc:AlternateContent>
  <xr:revisionPtr revIDLastSave="54" documentId="13_ncr:1_{198D0594-29E5-4840-A0E1-A986AD001EB3}" xr6:coauthVersionLast="47" xr6:coauthVersionMax="47" xr10:uidLastSave="{43C7268F-C8A1-4360-9975-70CC75E2F062}"/>
  <bookViews>
    <workbookView xWindow="-110" yWindow="-110" windowWidth="22780" windowHeight="14660" tabRatio="728" firstSheet="10" activeTab="2" xr2:uid="{30722388-7F80-4B88-9992-45AC76437A14}"/>
  </bookViews>
  <sheets>
    <sheet name="Directory" sheetId="1" state="hidden" r:id="rId1"/>
    <sheet name="Dashboard" sheetId="10" state="hidden" r:id="rId2"/>
    <sheet name="Trip Dreaming" sheetId="2" r:id="rId3"/>
    <sheet name="Itinerary Calendar" sheetId="13" r:id="rId4"/>
    <sheet name="Itinerary" sheetId="12" r:id="rId5"/>
    <sheet name="Itinerary-CODE" sheetId="3" state="hidden" r:id="rId6"/>
    <sheet name="Accomodations" sheetId="4" r:id="rId7"/>
    <sheet name="Transportation" sheetId="5" r:id="rId8"/>
    <sheet name="Budget" sheetId="6" state="hidden" r:id="rId9"/>
    <sheet name="Building a Budget" sheetId="15" r:id="rId10"/>
    <sheet name="Packing List" sheetId="7" r:id="rId11"/>
    <sheet name="Plan Checklist" sheetId="8" state="hidden" r:id="rId12"/>
  </sheets>
  <externalReferences>
    <externalReference r:id="rId13"/>
  </externalReferences>
  <definedNames>
    <definedName name="CalendarYear" localSheetId="3">'Itinerary Calendar'!$F$3</definedName>
    <definedName name="CalendarYear">'Itinerary-CODE'!$K$2</definedName>
    <definedName name="ColumnTitleRegion1..H12.1" localSheetId="3">'Itinerary Calendar'!$B$11</definedName>
    <definedName name="ColumnTitleRegion1..H12.1">#REF!</definedName>
    <definedName name="ColumnTitleRegion2..C14.1" localSheetId="3">'Itinerary Calendar'!$B$11</definedName>
    <definedName name="ColumnTitleRegion2..C14.1">#REF!</definedName>
    <definedName name="DaysAndWeeks" localSheetId="3">{0,1,2,3,4,5,6} + {0;1;2;3;4;5}*7</definedName>
    <definedName name="DaysAndWeeks">{0,1,2,3,4,5,6} + {0;1;2;3;4;5}*7</definedName>
    <definedName name="DaysAndWeeks1">{0,1,2,3,4,5,6} + {0;1;2;3;4;5}*7</definedName>
    <definedName name="DreamStartDate">'Trip Dreaming'!$E$3</definedName>
    <definedName name="DreamStartMonth">'Itinerary Calendar'!$H$3</definedName>
    <definedName name="DreamStartMonth2">'Itinerary Calendar'!$N$2</definedName>
    <definedName name="DreamStartMonth3">'Itinerary Calendar'!$N$3</definedName>
    <definedName name="DreamStartYear">'Itinerary Calendar'!$G$3</definedName>
    <definedName name="_xlnm.Print_Area" localSheetId="3">'Itinerary Calendar'!$A$10:$H$41</definedName>
    <definedName name="RowTitleRegion1..K3" localSheetId="3">'Itinerary Calendar'!$J$11</definedName>
    <definedName name="RowTitleRegion1..K3">#REF!</definedName>
    <definedName name="WeekStart" localSheetId="3">'Itinerary Calendar'!#REF!</definedName>
    <definedName name="WeekStart">'Itinerary-CODE'!$K$3</definedName>
    <definedName name="WeekStart1">'Itinerary-CODE'!$H$3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15" l="1"/>
  <c r="H3" i="5"/>
  <c r="T8" i="15" s="1"/>
  <c r="J3" i="4" l="1"/>
  <c r="N18" i="2"/>
  <c r="K19" i="2" s="1"/>
  <c r="F3" i="4"/>
  <c r="N7" i="2"/>
  <c r="M7" i="2" s="1"/>
  <c r="D8" i="4" s="1"/>
  <c r="N8" i="2"/>
  <c r="M8" i="2" s="1"/>
  <c r="D9" i="4" s="1"/>
  <c r="N9" i="2"/>
  <c r="E10" i="4" s="1"/>
  <c r="N10" i="2"/>
  <c r="M10" i="2" s="1"/>
  <c r="D11" i="4" s="1"/>
  <c r="N11" i="2"/>
  <c r="E12" i="4" s="1"/>
  <c r="N12" i="2"/>
  <c r="M12" i="2" s="1"/>
  <c r="D13" i="4" s="1"/>
  <c r="N13" i="2"/>
  <c r="E14" i="4" s="1"/>
  <c r="N14" i="2"/>
  <c r="E15" i="4" s="1"/>
  <c r="N15" i="2"/>
  <c r="E16" i="4" s="1"/>
  <c r="N16" i="2"/>
  <c r="M16" i="2" s="1"/>
  <c r="D17" i="4" s="1"/>
  <c r="N17" i="2"/>
  <c r="E18" i="4" s="1"/>
  <c r="N19" i="2"/>
  <c r="K20" i="2" s="1"/>
  <c r="N20" i="2"/>
  <c r="K21" i="2" s="1"/>
  <c r="N21" i="2"/>
  <c r="K22" i="2" s="1"/>
  <c r="N22" i="2"/>
  <c r="K23" i="2" s="1"/>
  <c r="N23" i="2"/>
  <c r="K24" i="2" s="1"/>
  <c r="N24" i="2"/>
  <c r="M24" i="2" s="1"/>
  <c r="D25" i="4" s="1"/>
  <c r="N25" i="2"/>
  <c r="E26" i="4" s="1"/>
  <c r="N26" i="2"/>
  <c r="K27" i="2" s="1"/>
  <c r="N27" i="2"/>
  <c r="K28" i="2" s="1"/>
  <c r="N28" i="2"/>
  <c r="K29" i="2" s="1"/>
  <c r="N29" i="2"/>
  <c r="K30" i="2" s="1"/>
  <c r="N30" i="2"/>
  <c r="E31" i="4" s="1"/>
  <c r="N6" i="2"/>
  <c r="E7" i="4" s="1"/>
  <c r="K6" i="2"/>
  <c r="B7" i="4" s="1"/>
  <c r="B9" i="12"/>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B35" i="12" s="1"/>
  <c r="B36" i="12" s="1"/>
  <c r="B37" i="12" s="1"/>
  <c r="B38" i="12" s="1"/>
  <c r="B39" i="12" s="1"/>
  <c r="B40" i="12" s="1"/>
  <c r="B41" i="12" s="1"/>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B69" i="12" s="1"/>
  <c r="B70" i="12" s="1"/>
  <c r="B71" i="12" s="1"/>
  <c r="B72" i="12" s="1"/>
  <c r="B73" i="12" s="1"/>
  <c r="B74" i="12" s="1"/>
  <c r="B75" i="12" s="1"/>
  <c r="B76" i="12" s="1"/>
  <c r="B77" i="12" s="1"/>
  <c r="B78" i="12" s="1"/>
  <c r="B79" i="12" s="1"/>
  <c r="B80" i="12" s="1"/>
  <c r="B81" i="12" s="1"/>
  <c r="B82" i="12" s="1"/>
  <c r="B83" i="12" s="1"/>
  <c r="B84" i="12" s="1"/>
  <c r="B85" i="12" s="1"/>
  <c r="B86" i="12" s="1"/>
  <c r="B87" i="12" s="1"/>
  <c r="B88" i="12" s="1"/>
  <c r="B89" i="12" s="1"/>
  <c r="B90" i="12" s="1"/>
  <c r="B91" i="12" s="1"/>
  <c r="B92" i="12" s="1"/>
  <c r="B93" i="12" s="1"/>
  <c r="B94" i="12" s="1"/>
  <c r="B95" i="12" s="1"/>
  <c r="B96" i="12" s="1"/>
  <c r="B97" i="12" s="1"/>
  <c r="B98" i="12" s="1"/>
  <c r="B99" i="12" s="1"/>
  <c r="B100" i="12" s="1"/>
  <c r="B101" i="12" s="1"/>
  <c r="B102" i="12" s="1"/>
  <c r="B103" i="12" s="1"/>
  <c r="B104" i="12" s="1"/>
  <c r="B105" i="12" s="1"/>
  <c r="B106" i="12" s="1"/>
  <c r="B107" i="12" s="1"/>
  <c r="B108" i="12" s="1"/>
  <c r="B4" i="3" a="1"/>
  <c r="B4" i="3" s="1"/>
  <c r="F3" i="13"/>
  <c r="G3" i="13"/>
  <c r="H3" i="13"/>
  <c r="N3" i="13" s="1"/>
  <c r="B2" i="3"/>
  <c r="T10" i="15" l="1"/>
  <c r="H12" i="6"/>
  <c r="B12" i="13"/>
  <c r="B13" i="13" s="1"/>
  <c r="M9" i="2"/>
  <c r="D10" i="4" s="1"/>
  <c r="M27" i="2"/>
  <c r="D28" i="4" s="1"/>
  <c r="M26" i="2"/>
  <c r="D27" i="4" s="1"/>
  <c r="E30" i="4"/>
  <c r="M20" i="2"/>
  <c r="D21" i="4" s="1"/>
  <c r="E27" i="4"/>
  <c r="M19" i="2"/>
  <c r="D20" i="4" s="1"/>
  <c r="E22" i="4"/>
  <c r="M18" i="2"/>
  <c r="D19" i="4" s="1"/>
  <c r="E13" i="4"/>
  <c r="M17" i="2"/>
  <c r="D18" i="4" s="1"/>
  <c r="E11" i="4"/>
  <c r="M28" i="2"/>
  <c r="D29" i="4" s="1"/>
  <c r="M6" i="2"/>
  <c r="D7" i="4" s="1"/>
  <c r="M15" i="2"/>
  <c r="D16" i="4" s="1"/>
  <c r="E25" i="4"/>
  <c r="K26" i="2"/>
  <c r="M30" i="2"/>
  <c r="D31" i="4" s="1"/>
  <c r="M22" i="2"/>
  <c r="D23" i="4" s="1"/>
  <c r="M14" i="2"/>
  <c r="D15" i="4" s="1"/>
  <c r="E24" i="4"/>
  <c r="E8" i="4"/>
  <c r="K25" i="2"/>
  <c r="M25" i="2"/>
  <c r="D26" i="4" s="1"/>
  <c r="M23" i="2"/>
  <c r="D24" i="4" s="1"/>
  <c r="E17" i="4"/>
  <c r="E9" i="4"/>
  <c r="M29" i="2"/>
  <c r="D30" i="4" s="1"/>
  <c r="M21" i="2"/>
  <c r="D22" i="4" s="1"/>
  <c r="M13" i="2"/>
  <c r="D14" i="4" s="1"/>
  <c r="E23" i="4"/>
  <c r="M11" i="2"/>
  <c r="D12" i="4" s="1"/>
  <c r="E29" i="4"/>
  <c r="E21" i="4"/>
  <c r="E28" i="4"/>
  <c r="E20" i="4"/>
  <c r="E19" i="4"/>
  <c r="D40" i="13"/>
  <c r="C104" i="13"/>
  <c r="D104" i="13"/>
  <c r="C103" i="13"/>
  <c r="D103" i="13"/>
  <c r="D102" i="13"/>
  <c r="C102" i="13"/>
  <c r="L6" i="2"/>
  <c r="K7" i="2" s="1"/>
  <c r="N2" i="13"/>
  <c r="C37" i="13"/>
  <c r="C40" i="13" s="1"/>
  <c r="B37" i="13"/>
  <c r="B40" i="13" s="1"/>
  <c r="B10" i="3" a="1"/>
  <c r="B16" i="3" a="1"/>
  <c r="G32" i="13"/>
  <c r="E32" i="13"/>
  <c r="D32" i="13"/>
  <c r="H32" i="13"/>
  <c r="H35" i="13" s="1"/>
  <c r="F32" i="13"/>
  <c r="C32" i="13"/>
  <c r="H27" i="13"/>
  <c r="G27" i="13"/>
  <c r="C27" i="13"/>
  <c r="F27" i="13"/>
  <c r="E27" i="13"/>
  <c r="D27" i="13"/>
  <c r="G22" i="13"/>
  <c r="E22" i="13"/>
  <c r="D22" i="13"/>
  <c r="H22" i="13"/>
  <c r="F22" i="13"/>
  <c r="C22" i="13"/>
  <c r="B32" i="13"/>
  <c r="B27" i="13"/>
  <c r="B22" i="13"/>
  <c r="H17" i="13"/>
  <c r="F17" i="13"/>
  <c r="G17" i="13"/>
  <c r="E17" i="13"/>
  <c r="D17" i="13"/>
  <c r="C17" i="13"/>
  <c r="B17" i="13"/>
  <c r="F12" i="13"/>
  <c r="F15" i="13" s="1"/>
  <c r="G12" i="13"/>
  <c r="G15" i="13" s="1"/>
  <c r="E12" i="13"/>
  <c r="E15" i="13" s="1"/>
  <c r="D12" i="13"/>
  <c r="D15" i="13" s="1"/>
  <c r="H12" i="13"/>
  <c r="C12" i="13"/>
  <c r="C15" i="13" s="1"/>
  <c r="G8" i="6" l="1"/>
  <c r="B14" i="13"/>
  <c r="B15" i="13"/>
  <c r="C14" i="13"/>
  <c r="F14" i="13"/>
  <c r="H34" i="13"/>
  <c r="B10" i="13" a="1"/>
  <c r="B10" i="13" s="1"/>
  <c r="D14" i="13"/>
  <c r="E14" i="13"/>
  <c r="B8" i="4"/>
  <c r="C7" i="4"/>
  <c r="F13" i="13"/>
  <c r="E13" i="13"/>
  <c r="D38" i="13"/>
  <c r="H33" i="13"/>
  <c r="D13" i="13"/>
  <c r="C13" i="13"/>
  <c r="B38" i="13"/>
  <c r="C38" i="13"/>
  <c r="B16" i="3"/>
  <c r="B76" i="13" s="1"/>
  <c r="C91" i="13"/>
  <c r="E86" i="13"/>
  <c r="G81" i="13"/>
  <c r="B101" i="13"/>
  <c r="D91" i="13"/>
  <c r="F86" i="13"/>
  <c r="H81" i="13"/>
  <c r="B96" i="13"/>
  <c r="C96" i="13"/>
  <c r="E91" i="13"/>
  <c r="G86" i="13"/>
  <c r="C76" i="13"/>
  <c r="B91" i="13"/>
  <c r="D96" i="13"/>
  <c r="F91" i="13"/>
  <c r="H86" i="13"/>
  <c r="D76" i="13"/>
  <c r="B86" i="13"/>
  <c r="E96" i="13"/>
  <c r="G91" i="13"/>
  <c r="C81" i="13"/>
  <c r="E76" i="13"/>
  <c r="B81" i="13"/>
  <c r="F96" i="13"/>
  <c r="H91" i="13"/>
  <c r="D81" i="13"/>
  <c r="F76" i="13"/>
  <c r="G96" i="13"/>
  <c r="C86" i="13"/>
  <c r="E81" i="13"/>
  <c r="G76" i="13"/>
  <c r="H96" i="13"/>
  <c r="D86" i="13"/>
  <c r="F81" i="13"/>
  <c r="H76" i="13"/>
  <c r="B10" i="3"/>
  <c r="B44" i="13" s="1"/>
  <c r="D69" i="13"/>
  <c r="C59" i="13"/>
  <c r="E54" i="13"/>
  <c r="G44" i="13"/>
  <c r="E69" i="13"/>
  <c r="D59" i="13"/>
  <c r="F54" i="13"/>
  <c r="H44" i="13"/>
  <c r="B69" i="13"/>
  <c r="C64" i="13"/>
  <c r="E59" i="13"/>
  <c r="G54" i="13"/>
  <c r="C49" i="13"/>
  <c r="B64" i="13"/>
  <c r="D64" i="13"/>
  <c r="F59" i="13"/>
  <c r="H54" i="13"/>
  <c r="D49" i="13"/>
  <c r="B59" i="13"/>
  <c r="E64" i="13"/>
  <c r="G59" i="13"/>
  <c r="C44" i="13"/>
  <c r="E49" i="13"/>
  <c r="B54" i="13"/>
  <c r="F64" i="13"/>
  <c r="H59" i="13"/>
  <c r="D44" i="13"/>
  <c r="F49" i="13"/>
  <c r="B49" i="13"/>
  <c r="G64" i="13"/>
  <c r="C54" i="13"/>
  <c r="E44" i="13"/>
  <c r="G49" i="13"/>
  <c r="C69" i="13"/>
  <c r="H64" i="13"/>
  <c r="D54" i="13"/>
  <c r="F44" i="13"/>
  <c r="H49" i="13"/>
  <c r="P16" i="6" l="1"/>
  <c r="P11" i="6"/>
  <c r="P15" i="6"/>
  <c r="P14" i="6"/>
  <c r="P12" i="6"/>
  <c r="C45" i="13"/>
  <c r="C47" i="13"/>
  <c r="C46" i="13"/>
  <c r="B42" i="13" a="1"/>
  <c r="B42" i="13" s="1"/>
  <c r="D45" i="13"/>
  <c r="D47" i="13"/>
  <c r="D46" i="13"/>
  <c r="B74" i="13" a="1"/>
  <c r="B74" i="13" s="1"/>
  <c r="D70" i="13"/>
  <c r="D72" i="13"/>
  <c r="D71" i="13"/>
  <c r="B45" i="13"/>
  <c r="B47" i="13"/>
  <c r="B46" i="13"/>
  <c r="L7" i="2"/>
  <c r="K8" i="2" s="1"/>
  <c r="C8" i="4" l="1"/>
  <c r="L3" i="2" l="1"/>
  <c r="T13" i="15" l="1"/>
  <c r="Q23" i="15" s="1"/>
  <c r="F15" i="6"/>
  <c r="P13" i="6" s="1"/>
  <c r="B9" i="4"/>
  <c r="L8" i="2" l="1"/>
  <c r="K9" i="2" s="1"/>
  <c r="C9" i="4" l="1"/>
  <c r="B10" i="4"/>
  <c r="L9" i="2" l="1"/>
  <c r="K10" i="2" s="1"/>
  <c r="C10" i="4" l="1"/>
  <c r="B11" i="4"/>
  <c r="L10" i="2" l="1"/>
  <c r="K11" i="2" s="1"/>
  <c r="C11" i="4" l="1"/>
  <c r="B12" i="4"/>
  <c r="L11" i="2" l="1"/>
  <c r="K12" i="2" s="1"/>
  <c r="C12" i="4" l="1"/>
  <c r="B13" i="4"/>
  <c r="L12" i="2" l="1"/>
  <c r="K13" i="2" s="1"/>
  <c r="C13" i="4" l="1"/>
  <c r="B14" i="4"/>
  <c r="L13" i="2" l="1"/>
  <c r="K14" i="2" s="1"/>
  <c r="C14" i="4" l="1"/>
  <c r="B15" i="4"/>
  <c r="L14" i="2" l="1"/>
  <c r="K15" i="2" s="1"/>
  <c r="C15" i="4" l="1"/>
  <c r="B16" i="4"/>
  <c r="L15" i="2" l="1"/>
  <c r="K16" i="2" s="1"/>
  <c r="C16" i="4" l="1"/>
  <c r="B17" i="4"/>
  <c r="L16" i="2" l="1"/>
  <c r="K17" i="2" s="1"/>
  <c r="C17" i="4" l="1"/>
  <c r="B18" i="4"/>
  <c r="L17" i="2" l="1"/>
  <c r="K18" i="2" s="1"/>
  <c r="C18" i="4" l="1"/>
  <c r="B19" i="4"/>
  <c r="L18" i="2" l="1"/>
  <c r="C19" i="4" s="1"/>
  <c r="B20" i="4" l="1"/>
  <c r="L19" i="2" l="1"/>
  <c r="C20" i="4" l="1"/>
  <c r="B21" i="4"/>
  <c r="L20" i="2" l="1"/>
  <c r="C21" i="4" s="1"/>
  <c r="B22" i="4" l="1"/>
  <c r="L21" i="2" l="1"/>
  <c r="C22" i="4" s="1"/>
  <c r="B23" i="4" l="1"/>
  <c r="L22" i="2" l="1"/>
  <c r="C23" i="4" s="1"/>
  <c r="B24" i="4" l="1"/>
  <c r="L23" i="2" l="1"/>
  <c r="C24" i="4" s="1"/>
  <c r="B25" i="4" l="1"/>
  <c r="L24" i="2" l="1"/>
  <c r="C25" i="4" s="1"/>
  <c r="B26" i="4" l="1"/>
  <c r="L25" i="2" l="1"/>
  <c r="C26" i="4" s="1"/>
  <c r="B27" i="4" l="1"/>
  <c r="L26" i="2" l="1"/>
  <c r="C27" i="4" s="1"/>
  <c r="B28" i="4" l="1"/>
  <c r="L27" i="2" l="1"/>
  <c r="C28" i="4" s="1"/>
  <c r="B29" i="4" l="1"/>
  <c r="L28" i="2" l="1"/>
  <c r="C29" i="4" s="1"/>
  <c r="B30" i="4" l="1"/>
  <c r="L29" i="2" l="1"/>
  <c r="C30" i="4" s="1"/>
  <c r="B31" i="4" l="1"/>
  <c r="L30" i="2" l="1"/>
  <c r="C31" i="4" s="1"/>
  <c r="D44" i="12" l="1"/>
  <c r="D45" i="12"/>
  <c r="D10" i="12"/>
  <c r="H14" i="13" s="1"/>
  <c r="D14" i="12"/>
  <c r="E19" i="13" s="1"/>
  <c r="D61" i="12"/>
  <c r="B78" i="13" s="1"/>
  <c r="D9" i="12"/>
  <c r="D12" i="12"/>
  <c r="D55" i="12"/>
  <c r="D47" i="12"/>
  <c r="D59" i="12"/>
  <c r="D28" i="12"/>
  <c r="D40" i="12"/>
  <c r="D29" i="12"/>
  <c r="D52" i="12"/>
  <c r="D23" i="12"/>
  <c r="D25" i="12"/>
  <c r="D34" i="12"/>
  <c r="D17" i="12"/>
  <c r="D41" i="12"/>
  <c r="D46" i="12"/>
  <c r="D27" i="12"/>
  <c r="D56" i="12"/>
  <c r="E66" i="13" s="1"/>
  <c r="D49" i="12"/>
  <c r="D35" i="12"/>
  <c r="D39" i="12"/>
  <c r="D32" i="12"/>
  <c r="D53" i="12"/>
  <c r="B61" i="13" s="1"/>
  <c r="D50" i="12"/>
  <c r="D20" i="12"/>
  <c r="D26" i="12"/>
  <c r="D42" i="12"/>
  <c r="G66" i="13" s="1"/>
  <c r="D38" i="12"/>
  <c r="D51" i="12"/>
  <c r="D54" i="12"/>
  <c r="D21" i="12"/>
  <c r="D22" i="12"/>
  <c r="D43" i="12"/>
  <c r="H66" i="13" s="1"/>
  <c r="D24" i="12"/>
  <c r="D58" i="12"/>
  <c r="D48" i="12"/>
  <c r="C61" i="13" s="1"/>
  <c r="D13" i="12"/>
  <c r="D60" i="12"/>
  <c r="D36" i="12"/>
  <c r="D31" i="12"/>
  <c r="D33" i="12"/>
  <c r="D16" i="12"/>
  <c r="D15" i="12"/>
  <c r="E24" i="13" s="1"/>
  <c r="D18" i="12"/>
  <c r="D37" i="12"/>
  <c r="D57" i="12"/>
  <c r="D30" i="12"/>
  <c r="D11" i="12"/>
  <c r="D19" i="12"/>
  <c r="C29" i="13" s="1"/>
  <c r="D62" i="12"/>
  <c r="C78" i="13" s="1"/>
  <c r="D67" i="12"/>
  <c r="D99" i="12"/>
  <c r="D69" i="12"/>
  <c r="D85" i="12"/>
  <c r="D100" i="12"/>
  <c r="D83" i="12"/>
  <c r="D84" i="12"/>
  <c r="D68" i="12"/>
  <c r="D101" i="12"/>
  <c r="D66" i="12"/>
  <c r="D76" i="12"/>
  <c r="D64" i="12"/>
  <c r="D80" i="12"/>
  <c r="D106" i="12"/>
  <c r="D94" i="12"/>
  <c r="D105" i="12"/>
  <c r="D92" i="12"/>
  <c r="D72" i="12"/>
  <c r="D97" i="12"/>
  <c r="D89" i="12"/>
  <c r="D98" i="12"/>
  <c r="D103" i="12"/>
  <c r="D96" i="12"/>
  <c r="D95" i="12"/>
  <c r="D73" i="12"/>
  <c r="D71" i="12"/>
  <c r="D88" i="12"/>
  <c r="D63" i="12"/>
  <c r="D108" i="12"/>
  <c r="D70" i="12"/>
  <c r="D104" i="12"/>
  <c r="D75" i="12"/>
  <c r="D65" i="12"/>
  <c r="D82" i="12"/>
  <c r="D91" i="12"/>
  <c r="D79" i="12"/>
  <c r="D78" i="12"/>
  <c r="D77" i="12"/>
  <c r="D74" i="12"/>
  <c r="D87" i="12"/>
  <c r="H98" i="13" s="1"/>
  <c r="D107" i="12"/>
  <c r="D90" i="12"/>
  <c r="D102" i="12"/>
  <c r="D81" i="12"/>
  <c r="D86" i="12"/>
  <c r="D93" i="12"/>
  <c r="B66" i="13"/>
  <c r="D29" i="13"/>
  <c r="D24" i="13"/>
  <c r="C90" i="12"/>
  <c r="C77" i="12"/>
  <c r="C55" i="12"/>
  <c r="C40" i="12"/>
  <c r="C99" i="12"/>
  <c r="C73" i="12"/>
  <c r="C97" i="12"/>
  <c r="C64" i="12"/>
  <c r="C71" i="12"/>
  <c r="C86" i="12"/>
  <c r="C9" i="12"/>
  <c r="G13" i="13" s="1"/>
  <c r="C60" i="12"/>
  <c r="C84" i="12"/>
  <c r="C19" i="12"/>
  <c r="C54" i="12"/>
  <c r="C81" i="12"/>
  <c r="C10" i="12"/>
  <c r="H13" i="13" s="1"/>
  <c r="C76" i="12"/>
  <c r="C49" i="12"/>
  <c r="C91" i="12"/>
  <c r="C72" i="12"/>
  <c r="C12" i="12"/>
  <c r="C18" i="13" s="1"/>
  <c r="C35" i="12"/>
  <c r="C66" i="12"/>
  <c r="C80" i="12"/>
  <c r="C15" i="12"/>
  <c r="F18" i="13" s="1"/>
  <c r="C38" i="12"/>
  <c r="C105" i="12"/>
  <c r="C63" i="12"/>
  <c r="C26" i="12"/>
  <c r="C51" i="12"/>
  <c r="C39" i="12"/>
  <c r="C45" i="12"/>
  <c r="C85" i="12"/>
  <c r="C18" i="12"/>
  <c r="C30" i="12"/>
  <c r="C44" i="12"/>
  <c r="B70" i="13" s="1"/>
  <c r="C59" i="12"/>
  <c r="C78" i="12"/>
  <c r="C67" i="12"/>
  <c r="C104" i="12"/>
  <c r="C33" i="12"/>
  <c r="C53" i="12"/>
  <c r="C57" i="12"/>
  <c r="C83" i="12"/>
  <c r="C108" i="12"/>
  <c r="C58" i="12"/>
  <c r="C94" i="12"/>
  <c r="C103" i="12"/>
  <c r="C107" i="12"/>
  <c r="C21" i="12"/>
  <c r="C37" i="12"/>
  <c r="C31" i="12"/>
  <c r="C98" i="12"/>
  <c r="C36" i="12"/>
  <c r="E36" i="12" s="1"/>
  <c r="C50" i="12"/>
  <c r="C87" i="12"/>
  <c r="C68" i="12"/>
  <c r="C48" i="12"/>
  <c r="C56" i="12"/>
  <c r="C20" i="12"/>
  <c r="C22" i="12"/>
  <c r="C23" i="12"/>
  <c r="C93" i="12"/>
  <c r="C28" i="12"/>
  <c r="C16" i="12"/>
  <c r="E16" i="12" s="1"/>
  <c r="C88" i="12"/>
  <c r="C13" i="12"/>
  <c r="D18" i="13" s="1"/>
  <c r="C92" i="12"/>
  <c r="C79" i="12"/>
  <c r="C95" i="12"/>
  <c r="C29" i="12"/>
  <c r="C34" i="12"/>
  <c r="C62" i="12"/>
  <c r="C27" i="12"/>
  <c r="C47" i="12"/>
  <c r="C52" i="12"/>
  <c r="C14" i="12"/>
  <c r="E18" i="13" s="1"/>
  <c r="C11" i="12"/>
  <c r="B18" i="13" s="1"/>
  <c r="C24" i="12"/>
  <c r="C41" i="12"/>
  <c r="C75" i="12"/>
  <c r="C32" i="12"/>
  <c r="C61" i="12"/>
  <c r="C102" i="12"/>
  <c r="C46" i="12"/>
  <c r="C43" i="12"/>
  <c r="C25" i="12"/>
  <c r="E25" i="12" s="1"/>
  <c r="C42" i="12"/>
  <c r="C65" i="12"/>
  <c r="C82" i="12"/>
  <c r="C101" i="12"/>
  <c r="C69" i="12"/>
  <c r="C74" i="12"/>
  <c r="E74" i="12" s="1"/>
  <c r="C96" i="12"/>
  <c r="E96" i="12" s="1"/>
  <c r="C89" i="12"/>
  <c r="C70" i="12"/>
  <c r="C17" i="12"/>
  <c r="E17" i="12" s="1"/>
  <c r="C100" i="12"/>
  <c r="C106" i="12"/>
  <c r="E106" i="12" s="1"/>
  <c r="B98" i="13" l="1"/>
  <c r="F56" i="13"/>
  <c r="G46" i="13"/>
  <c r="H61" i="13"/>
  <c r="D78" i="13"/>
  <c r="E29" i="13"/>
  <c r="F66" i="13"/>
  <c r="H19" i="13"/>
  <c r="F46" i="13"/>
  <c r="F29" i="13"/>
  <c r="C51" i="13"/>
  <c r="H93" i="13"/>
  <c r="C93" i="13"/>
  <c r="D51" i="13"/>
  <c r="F78" i="13"/>
  <c r="C66" i="13"/>
  <c r="G61" i="13"/>
  <c r="D56" i="13"/>
  <c r="F83" i="13"/>
  <c r="F24" i="13"/>
  <c r="F19" i="13"/>
  <c r="G29" i="13"/>
  <c r="C24" i="13"/>
  <c r="C19" i="13"/>
  <c r="G19" i="13"/>
  <c r="G14" i="13"/>
  <c r="B24" i="13"/>
  <c r="B19" i="13"/>
  <c r="G98" i="13"/>
  <c r="E83" i="13"/>
  <c r="H24" i="13"/>
  <c r="F34" i="13"/>
  <c r="D19" i="13"/>
  <c r="E78" i="13"/>
  <c r="B103" i="13"/>
  <c r="H88" i="13"/>
  <c r="D83" i="13"/>
  <c r="C56" i="13"/>
  <c r="C34" i="13"/>
  <c r="D34" i="13"/>
  <c r="E46" i="13"/>
  <c r="F98" i="13"/>
  <c r="H78" i="13"/>
  <c r="F61" i="13"/>
  <c r="B51" i="13"/>
  <c r="E61" i="13"/>
  <c r="E56" i="13"/>
  <c r="G24" i="13"/>
  <c r="C88" i="13"/>
  <c r="E24" i="12"/>
  <c r="G33" i="13"/>
  <c r="E34" i="13"/>
  <c r="E93" i="13"/>
  <c r="G51" i="13"/>
  <c r="B83" i="13"/>
  <c r="D98" i="13"/>
  <c r="F51" i="13"/>
  <c r="E98" i="13"/>
  <c r="C83" i="13"/>
  <c r="G56" i="13"/>
  <c r="H56" i="13"/>
  <c r="G93" i="13"/>
  <c r="G34" i="13"/>
  <c r="C71" i="13"/>
  <c r="B71" i="13"/>
  <c r="H51" i="13"/>
  <c r="B93" i="13"/>
  <c r="C98" i="13"/>
  <c r="D93" i="13"/>
  <c r="H46" i="13"/>
  <c r="B88" i="13"/>
  <c r="G78" i="13"/>
  <c r="B56" i="13"/>
  <c r="F88" i="13"/>
  <c r="G83" i="13"/>
  <c r="B34" i="13"/>
  <c r="B29" i="13"/>
  <c r="E88" i="13"/>
  <c r="D61" i="13"/>
  <c r="E51" i="13"/>
  <c r="G88" i="13"/>
  <c r="H83" i="13"/>
  <c r="D88" i="13"/>
  <c r="D66" i="13"/>
  <c r="H29" i="13"/>
  <c r="F93" i="13"/>
  <c r="E70" i="12"/>
  <c r="E64" i="12"/>
  <c r="E93" i="12"/>
  <c r="E23" i="12"/>
  <c r="E100" i="12"/>
  <c r="E41" i="12"/>
  <c r="E32" i="12"/>
  <c r="E85" i="12"/>
  <c r="E28" i="12"/>
  <c r="E89" i="12"/>
  <c r="E50" i="12"/>
  <c r="E54" i="12"/>
  <c r="E42" i="12"/>
  <c r="E10" i="12"/>
  <c r="G20" i="13" s="1"/>
  <c r="E39" i="12"/>
  <c r="E92" i="12"/>
  <c r="E67" i="12"/>
  <c r="E101" i="12"/>
  <c r="E20" i="12"/>
  <c r="E47" i="12"/>
  <c r="E27" i="12"/>
  <c r="E65" i="12"/>
  <c r="E75" i="12"/>
  <c r="E68" i="12"/>
  <c r="E107" i="12"/>
  <c r="E33" i="12"/>
  <c r="E15" i="12"/>
  <c r="E103" i="12"/>
  <c r="E80" i="12"/>
  <c r="E81" i="12"/>
  <c r="E11" i="12"/>
  <c r="E87" i="12"/>
  <c r="H99" i="13" s="1"/>
  <c r="E13" i="12"/>
  <c r="D20" i="13" s="1"/>
  <c r="F33" i="13"/>
  <c r="E45" i="12"/>
  <c r="C70" i="13"/>
  <c r="E43" i="12"/>
  <c r="E46" i="12"/>
  <c r="E14" i="12"/>
  <c r="E20" i="13" s="1"/>
  <c r="E79" i="12"/>
  <c r="E22" i="12"/>
  <c r="E98" i="12"/>
  <c r="E108" i="12"/>
  <c r="C77" i="13"/>
  <c r="E59" i="12"/>
  <c r="E33" i="13"/>
  <c r="E26" i="12"/>
  <c r="E12" i="12"/>
  <c r="C20" i="13" s="1"/>
  <c r="E19" i="12"/>
  <c r="E73" i="12"/>
  <c r="F77" i="13"/>
  <c r="E62" i="12"/>
  <c r="C79" i="13" s="1"/>
  <c r="E94" i="12"/>
  <c r="E66" i="12"/>
  <c r="E78" i="12"/>
  <c r="E97" i="12"/>
  <c r="E69" i="12"/>
  <c r="E102" i="12"/>
  <c r="E52" i="12"/>
  <c r="E31" i="12"/>
  <c r="E83" i="12"/>
  <c r="E44" i="12"/>
  <c r="E63" i="12"/>
  <c r="E72" i="12"/>
  <c r="E84" i="12"/>
  <c r="E99" i="12"/>
  <c r="E29" i="12"/>
  <c r="F47" i="13" s="1"/>
  <c r="E95" i="12"/>
  <c r="E51" i="12"/>
  <c r="E77" i="13"/>
  <c r="E61" i="12"/>
  <c r="B79" i="13" s="1"/>
  <c r="G65" i="13"/>
  <c r="E56" i="12"/>
  <c r="E37" i="12"/>
  <c r="H65" i="13"/>
  <c r="E57" i="12"/>
  <c r="E30" i="12"/>
  <c r="E105" i="12"/>
  <c r="E91" i="12"/>
  <c r="D77" i="13"/>
  <c r="E60" i="12"/>
  <c r="E40" i="12"/>
  <c r="C57" i="13" s="1"/>
  <c r="B77" i="13"/>
  <c r="E58" i="12"/>
  <c r="E35" i="12"/>
  <c r="E82" i="12"/>
  <c r="E88" i="12"/>
  <c r="E48" i="12"/>
  <c r="E21" i="12"/>
  <c r="E30" i="13" s="1"/>
  <c r="D65" i="13"/>
  <c r="E53" i="12"/>
  <c r="E18" i="12"/>
  <c r="B30" i="13" s="1"/>
  <c r="E38" i="12"/>
  <c r="E49" i="12"/>
  <c r="E55" i="12"/>
  <c r="E76" i="12"/>
  <c r="E86" i="12"/>
  <c r="G99" i="13" s="1"/>
  <c r="E77" i="12"/>
  <c r="E34" i="12"/>
  <c r="E104" i="12"/>
  <c r="E71" i="12"/>
  <c r="E90" i="12"/>
  <c r="C33" i="13"/>
  <c r="D60" i="13"/>
  <c r="F87" i="13"/>
  <c r="E60" i="13"/>
  <c r="D33" i="13"/>
  <c r="H50" i="13"/>
  <c r="H60" i="13"/>
  <c r="H77" i="13"/>
  <c r="H45" i="13"/>
  <c r="F23" i="13"/>
  <c r="E92" i="13"/>
  <c r="D50" i="13"/>
  <c r="C82" i="13"/>
  <c r="D55" i="13"/>
  <c r="H55" i="13"/>
  <c r="D82" i="13"/>
  <c r="D87" i="13"/>
  <c r="G23" i="13"/>
  <c r="D92" i="13"/>
  <c r="C50" i="13"/>
  <c r="C87" i="13"/>
  <c r="B92" i="13"/>
  <c r="C55" i="13"/>
  <c r="B82" i="13"/>
  <c r="D23" i="13"/>
  <c r="H87" i="13"/>
  <c r="B65" i="13"/>
  <c r="G50" i="13"/>
  <c r="E65" i="13"/>
  <c r="E28" i="13"/>
  <c r="B28" i="13"/>
  <c r="G82" i="13"/>
  <c r="B33" i="13"/>
  <c r="C65" i="13"/>
  <c r="B60" i="13"/>
  <c r="G77" i="13"/>
  <c r="B87" i="13"/>
  <c r="G92" i="13"/>
  <c r="E97" i="13"/>
  <c r="F28" i="13"/>
  <c r="B55" i="13"/>
  <c r="B50" i="13"/>
  <c r="E55" i="13"/>
  <c r="H28" i="13"/>
  <c r="E23" i="13"/>
  <c r="F92" i="13"/>
  <c r="F45" i="13"/>
  <c r="D97" i="13"/>
  <c r="B102" i="13"/>
  <c r="F60" i="13"/>
  <c r="G28" i="13"/>
  <c r="D28" i="13"/>
  <c r="G60" i="13"/>
  <c r="B23" i="13"/>
  <c r="G18" i="13"/>
  <c r="F65" i="13"/>
  <c r="C28" i="13"/>
  <c r="E87" i="13"/>
  <c r="E82" i="13"/>
  <c r="E50" i="13"/>
  <c r="H92" i="13"/>
  <c r="F97" i="13"/>
  <c r="H23" i="13"/>
  <c r="B97" i="13"/>
  <c r="G97" i="13"/>
  <c r="G87" i="13"/>
  <c r="F82" i="13"/>
  <c r="G55" i="13"/>
  <c r="F55" i="13"/>
  <c r="F50" i="13"/>
  <c r="G45" i="13"/>
  <c r="E45" i="13"/>
  <c r="C97" i="13"/>
  <c r="H97" i="13"/>
  <c r="C60" i="13"/>
  <c r="C92" i="13"/>
  <c r="C23" i="13"/>
  <c r="H18" i="13"/>
  <c r="H82" i="13"/>
  <c r="D94" i="13" l="1"/>
  <c r="G47" i="13"/>
  <c r="H62" i="13"/>
  <c r="F25" i="13"/>
  <c r="F20" i="13"/>
  <c r="D30" i="13"/>
  <c r="H89" i="13"/>
  <c r="F99" i="13"/>
  <c r="B25" i="13"/>
  <c r="B20" i="13"/>
  <c r="B52" i="13"/>
  <c r="B94" i="13"/>
  <c r="H20" i="13"/>
  <c r="H15" i="13"/>
  <c r="E79" i="13"/>
  <c r="G30" i="13"/>
  <c r="H30" i="13"/>
  <c r="G25" i="13"/>
  <c r="C30" i="13"/>
  <c r="F30" i="13"/>
  <c r="E47" i="13"/>
  <c r="G94" i="13"/>
  <c r="H25" i="13"/>
  <c r="B104" i="13"/>
  <c r="D35" i="13"/>
  <c r="B35" i="13"/>
  <c r="C52" i="13"/>
  <c r="E89" i="13"/>
  <c r="D99" i="13"/>
  <c r="H79" i="13"/>
  <c r="F67" i="13"/>
  <c r="H47" i="13"/>
  <c r="B57" i="13"/>
  <c r="D57" i="13"/>
  <c r="C94" i="13"/>
  <c r="E99" i="13"/>
  <c r="D67" i="13"/>
  <c r="F89" i="13"/>
  <c r="E67" i="13"/>
  <c r="E84" i="13"/>
  <c r="C35" i="13"/>
  <c r="F57" i="13"/>
  <c r="G89" i="13"/>
  <c r="E62" i="13"/>
  <c r="C99" i="13"/>
  <c r="F52" i="13"/>
  <c r="B67" i="13"/>
  <c r="E57" i="13"/>
  <c r="H52" i="13"/>
  <c r="E52" i="13"/>
  <c r="C62" i="13"/>
  <c r="G79" i="13"/>
  <c r="D84" i="13"/>
  <c r="E94" i="13"/>
  <c r="D52" i="13"/>
  <c r="G52" i="13"/>
  <c r="F84" i="13"/>
  <c r="H57" i="13"/>
  <c r="C72" i="13"/>
  <c r="G84" i="13"/>
  <c r="B99" i="13"/>
  <c r="G62" i="13"/>
  <c r="D62" i="13"/>
  <c r="F79" i="13"/>
  <c r="C25" i="13"/>
  <c r="E35" i="13"/>
  <c r="C67" i="13"/>
  <c r="B89" i="13"/>
  <c r="B84" i="13"/>
  <c r="D89" i="13"/>
  <c r="C84" i="13"/>
  <c r="F94" i="13"/>
  <c r="E25" i="13"/>
  <c r="G35" i="13"/>
  <c r="D25" i="13"/>
  <c r="F35" i="13"/>
  <c r="C89" i="13"/>
  <c r="G57" i="13"/>
  <c r="B72" i="13"/>
  <c r="H84" i="13"/>
  <c r="B62" i="13"/>
  <c r="D79" i="13"/>
  <c r="F62" i="13"/>
  <c r="H9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E3" authorId="0" shapeId="0" xr:uid="{5B354391-C343-490F-9FE4-0BB6BCB82973}">
      <text>
        <r>
          <rPr>
            <b/>
            <sz val="9"/>
            <color indexed="81"/>
            <rFont val="Tahoma"/>
            <family val="2"/>
          </rPr>
          <t>Hayley:</t>
        </r>
        <r>
          <rPr>
            <sz val="9"/>
            <color indexed="81"/>
            <rFont val="Tahoma"/>
            <family val="2"/>
          </rPr>
          <t xml:space="preserve">
This date will be used in MANY formulas and will calculate basically everything. So please double check that this is the correct start date that you would like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H6" authorId="0" shapeId="0" xr:uid="{1AEB06D7-85BC-467B-892D-5556D5874E41}">
      <text>
        <r>
          <rPr>
            <b/>
            <sz val="9"/>
            <color indexed="81"/>
            <rFont val="Tahoma"/>
            <family val="2"/>
          </rPr>
          <t>Hayley:</t>
        </r>
        <r>
          <rPr>
            <sz val="9"/>
            <color indexed="81"/>
            <rFont val="Tahoma"/>
            <family val="2"/>
          </rPr>
          <t xml:space="preserve">
# of nights x $ per night</t>
        </r>
      </text>
    </comment>
    <comment ref="I6" authorId="0" shapeId="0" xr:uid="{E6EFAE36-DCB4-4091-968C-3E186AFBBB08}">
      <text>
        <r>
          <rPr>
            <b/>
            <sz val="9"/>
            <color indexed="81"/>
            <rFont val="Tahoma"/>
            <family val="2"/>
          </rPr>
          <t>Hayley:</t>
        </r>
        <r>
          <rPr>
            <sz val="9"/>
            <color indexed="81"/>
            <rFont val="Tahoma"/>
            <family val="2"/>
          </rPr>
          <t xml:space="preserve">
Includes all the fees &amp; extra things they make you pay to book.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C13" authorId="0" shapeId="0" xr:uid="{59AE29D6-FD06-43DE-B524-5FFC6DD6587D}">
      <text>
        <r>
          <rPr>
            <b/>
            <sz val="9"/>
            <color indexed="81"/>
            <rFont val="Tahoma"/>
            <family val="2"/>
          </rPr>
          <t>Hayley:</t>
        </r>
        <r>
          <rPr>
            <sz val="9"/>
            <color indexed="81"/>
            <rFont val="Tahoma"/>
            <family val="2"/>
          </rPr>
          <t xml:space="preserve">
Research where you are going to see what the average meal cost is. Also remember, lots of hostels have kitchens and grocery stores have some tasty premade meals and sandwiches.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Hayley Boll</author>
  </authors>
  <commentList>
    <comment ref="B11" authorId="0" shapeId="0" xr:uid="{94BB637A-B4DC-4666-9CA5-23EDACED88BA}">
      <text>
        <r>
          <rPr>
            <b/>
            <sz val="9"/>
            <color indexed="81"/>
            <rFont val="Tahoma"/>
            <family val="2"/>
          </rPr>
          <t>Hayley:</t>
        </r>
        <r>
          <rPr>
            <sz val="9"/>
            <color indexed="81"/>
            <rFont val="Tahoma"/>
            <family val="2"/>
          </rPr>
          <t xml:space="preserve">
Research where you are going to see what the average meal cost is. Also remember, lots of hostels have kitchens and grocery stores have some tasty premade meals and sandwiches.
</t>
        </r>
      </text>
    </comment>
    <comment ref="M11" authorId="0" shapeId="0" xr:uid="{D493C632-163D-461A-B58D-B5E896AAA9BB}">
      <text>
        <r>
          <rPr>
            <b/>
            <sz val="9"/>
            <color indexed="81"/>
            <rFont val="Tahoma"/>
            <family val="2"/>
          </rPr>
          <t>Hayley:</t>
        </r>
        <r>
          <rPr>
            <sz val="9"/>
            <color indexed="81"/>
            <rFont val="Tahoma"/>
            <family val="2"/>
          </rPr>
          <t xml:space="preserve">
Research where you are going to see what the average meal cost is. Also remember, lots of hostels have kitchens and grocery stores have some tasty premade meals and sandwiches.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<sst xmlns="http://schemas.openxmlformats.org/spreadsheetml/2006/main" count="385" uniqueCount="254">
  <si>
    <t>Solo Trip Planner Directory</t>
  </si>
  <si>
    <t>Put together by Hayleley - Your Best Friend for Solo Travel Inspiration</t>
  </si>
  <si>
    <t>Trip Dreaming</t>
  </si>
  <si>
    <t>Dream Outline</t>
  </si>
  <si>
    <t>This is the spot to put down all of those places you want to go… and how long you want to stay there.</t>
  </si>
  <si>
    <t>No need to put anything over here. It will appear magically.</t>
  </si>
  <si>
    <t>Trip Start Date</t>
  </si>
  <si>
    <t>*double check this PLEASE (MM/DD/YYYY)</t>
  </si>
  <si>
    <t>Total # of Days</t>
  </si>
  <si>
    <t>Stop on Trip</t>
  </si>
  <si>
    <t>Days in Location</t>
  </si>
  <si>
    <t>City</t>
  </si>
  <si>
    <t>Country</t>
  </si>
  <si>
    <t>Preferred Month</t>
  </si>
  <si>
    <t>Average Room Cost</t>
  </si>
  <si>
    <t>Stop</t>
  </si>
  <si>
    <t>Start Date</t>
  </si>
  <si>
    <t>End Date</t>
  </si>
  <si>
    <t>Location</t>
  </si>
  <si>
    <t># Days</t>
  </si>
  <si>
    <t>#</t>
  </si>
  <si>
    <t>Zurich</t>
  </si>
  <si>
    <t>Switzerland</t>
  </si>
  <si>
    <t>Lucerne</t>
  </si>
  <si>
    <t>Interlaken</t>
  </si>
  <si>
    <t>Salzburg</t>
  </si>
  <si>
    <t>Austria</t>
  </si>
  <si>
    <t>Halstatt</t>
  </si>
  <si>
    <t>Munich</t>
  </si>
  <si>
    <t>Germany</t>
  </si>
  <si>
    <t>Berlin</t>
  </si>
  <si>
    <t>Amsterdam</t>
  </si>
  <si>
    <t>Netherlands</t>
  </si>
  <si>
    <t>Copenhagen</t>
  </si>
  <si>
    <t>Denmark</t>
  </si>
  <si>
    <t>Dublin</t>
  </si>
  <si>
    <t>Ireland</t>
  </si>
  <si>
    <t>Edinburgh</t>
  </si>
  <si>
    <t>Scotland</t>
  </si>
  <si>
    <t>London</t>
  </si>
  <si>
    <t>England</t>
  </si>
  <si>
    <t>Trip Itinerary Calendar</t>
  </si>
  <si>
    <t>Auto Calendar Settings</t>
  </si>
  <si>
    <t>This is where you can find the calendar plan of your trip.</t>
  </si>
  <si>
    <t>Year Start</t>
  </si>
  <si>
    <t>Month # Start</t>
  </si>
  <si>
    <t>Start Month 2</t>
  </si>
  <si>
    <t>Start Month 3</t>
  </si>
  <si>
    <t>Friday</t>
  </si>
  <si>
    <r>
      <t xml:space="preserve">  1</t>
    </r>
    <r>
      <rPr>
        <b/>
        <sz val="11"/>
        <rFont val="Calibri"/>
        <family val="2"/>
        <scheme val="minor"/>
      </rPr>
      <t xml:space="preserve">
Location
</t>
    </r>
    <r>
      <rPr>
        <sz val="11"/>
        <rFont val="Calibri"/>
        <family val="2"/>
        <scheme val="minor"/>
      </rPr>
      <t>Accomodation for that night</t>
    </r>
  </si>
  <si>
    <t>TRAVEL DAY</t>
  </si>
  <si>
    <t>Travel Plan</t>
  </si>
  <si>
    <t>*Choose the contents you want</t>
  </si>
  <si>
    <t>Sunday</t>
  </si>
  <si>
    <t>Monday</t>
  </si>
  <si>
    <t>Tuesday</t>
  </si>
  <si>
    <t>Wednesday</t>
  </si>
  <si>
    <t>Thursday</t>
  </si>
  <si>
    <t>Saturday</t>
  </si>
  <si>
    <t>Notes:</t>
  </si>
  <si>
    <t>Itinerary - Detailed</t>
  </si>
  <si>
    <t>This spreadsheet is a comprehensive list of your trip!</t>
  </si>
  <si>
    <t>Date</t>
  </si>
  <si>
    <t>Accomodation</t>
  </si>
  <si>
    <t>Traveling?</t>
  </si>
  <si>
    <t>Day Plan/Activities</t>
  </si>
  <si>
    <t>Today's Budget</t>
  </si>
  <si>
    <t>Notes</t>
  </si>
  <si>
    <t>Yes</t>
  </si>
  <si>
    <t>Fly in from DFW</t>
  </si>
  <si>
    <t>Walk around old town</t>
  </si>
  <si>
    <t>Eurorail Train</t>
  </si>
  <si>
    <t>Hike Mt. Pilatus</t>
  </si>
  <si>
    <t>Hike in Lauterbrunnen</t>
  </si>
  <si>
    <t>Hike in Grindelwald</t>
  </si>
  <si>
    <t>Hike Mt. Eiger</t>
  </si>
  <si>
    <t>Go to Basel</t>
  </si>
  <si>
    <t>Hike to Murren</t>
  </si>
  <si>
    <t>Visit Basel</t>
  </si>
  <si>
    <t>Hike in Interlaken</t>
  </si>
  <si>
    <t>Go to Augustiner Brewery</t>
  </si>
  <si>
    <t>Sound of Music Tour</t>
  </si>
  <si>
    <t>Walk to Castle</t>
  </si>
  <si>
    <t>Chill</t>
  </si>
  <si>
    <t>Go to clubs</t>
  </si>
  <si>
    <t>Walking Tour</t>
  </si>
  <si>
    <t>Clubbing</t>
  </si>
  <si>
    <t xml:space="preserve">Concentration Camp </t>
  </si>
  <si>
    <t>Fly in from Berlin</t>
  </si>
  <si>
    <t>Watch friends play vb</t>
  </si>
  <si>
    <t>Go on tours</t>
  </si>
  <si>
    <t>canal tour</t>
  </si>
  <si>
    <t>Fly in From Amsterdam</t>
  </si>
  <si>
    <t>go to sweden</t>
  </si>
  <si>
    <t>hang out</t>
  </si>
  <si>
    <t>Fly in from Copenhagen</t>
  </si>
  <si>
    <t>party</t>
  </si>
  <si>
    <t>Party</t>
  </si>
  <si>
    <t>Hike in Howth</t>
  </si>
  <si>
    <t>Hike Bray to Greystones</t>
  </si>
  <si>
    <t>West Ireland tour</t>
  </si>
  <si>
    <t>Go to bars</t>
  </si>
  <si>
    <t>Fly to Glasgow, then Eurorail</t>
  </si>
  <si>
    <t>Bar crawl</t>
  </si>
  <si>
    <t>Walk around</t>
  </si>
  <si>
    <t>Edinburgh Pride</t>
  </si>
  <si>
    <t>Visit Loch Ness</t>
  </si>
  <si>
    <t>Tour of London</t>
  </si>
  <si>
    <t>Go to Brighton</t>
  </si>
  <si>
    <t>Wimbledon!!!!!</t>
  </si>
  <si>
    <t>Notting Hill</t>
  </si>
  <si>
    <t>Visit Greenwich &amp; London Pride</t>
  </si>
  <si>
    <t>See Museums</t>
  </si>
  <si>
    <t>Cliffs of Dover</t>
  </si>
  <si>
    <t>FLY HOME!</t>
  </si>
  <si>
    <t>:(</t>
  </si>
  <si>
    <t>Month 1</t>
  </si>
  <si>
    <t>Month 2</t>
  </si>
  <si>
    <t>Month 3</t>
  </si>
  <si>
    <t>Accomodations</t>
  </si>
  <si>
    <t>Total Accomodation Cost</t>
  </si>
  <si>
    <t>% Booked</t>
  </si>
  <si>
    <t>The hostels, airbnbs, tents?, boats, and other places you will be staying!</t>
  </si>
  <si>
    <t>This data feeds into the itinerary!</t>
  </si>
  <si>
    <t>Check-In Date</t>
  </si>
  <si>
    <t>Check-Out Date</t>
  </si>
  <si>
    <t># of Days</t>
  </si>
  <si>
    <t>Name</t>
  </si>
  <si>
    <t>$ Per Night</t>
  </si>
  <si>
    <t>$ All Nights</t>
  </si>
  <si>
    <t>Total Booked Cost</t>
  </si>
  <si>
    <t>Booked?</t>
  </si>
  <si>
    <t>Booking Site</t>
  </si>
  <si>
    <t>Cash or Card</t>
  </si>
  <si>
    <t>Zurich Youth Hostel</t>
  </si>
  <si>
    <t>Barabas Luzern</t>
  </si>
  <si>
    <t>Chalet Hostel @ Backpackers Villa</t>
  </si>
  <si>
    <t>YoHo - Internationall Youth Hostel</t>
  </si>
  <si>
    <t>Pension Leopoldine</t>
  </si>
  <si>
    <t>Wombat's City Hostel Munich</t>
  </si>
  <si>
    <t>St. Christophers Inn Berlin</t>
  </si>
  <si>
    <t>Hans Brinker Hostel</t>
  </si>
  <si>
    <t>Generator Copenhagen</t>
  </si>
  <si>
    <t>Abbey Court Hostel</t>
  </si>
  <si>
    <t>Kick Ass Greyfriars</t>
  </si>
  <si>
    <t>PubLove @ The White Ferry</t>
  </si>
  <si>
    <t>Transportation</t>
  </si>
  <si>
    <t>Total Transportation Cost</t>
  </si>
  <si>
    <t>What days you are traveling and how! This data doesn’t go anywhere it's just for organization.</t>
  </si>
  <si>
    <t>From</t>
  </si>
  <si>
    <t>To</t>
  </si>
  <si>
    <t>Via</t>
  </si>
  <si>
    <t>Carrier</t>
  </si>
  <si>
    <t>Cost $$$</t>
  </si>
  <si>
    <t>Roundtrip/Oneway/Unlimited</t>
  </si>
  <si>
    <t>Reservation #</t>
  </si>
  <si>
    <t>Confirmation #</t>
  </si>
  <si>
    <t>DFW</t>
  </si>
  <si>
    <t>Flight</t>
  </si>
  <si>
    <t>AA</t>
  </si>
  <si>
    <t>Oneway</t>
  </si>
  <si>
    <t>London Heathrow</t>
  </si>
  <si>
    <t>Any Day</t>
  </si>
  <si>
    <t>EuroRail Pass</t>
  </si>
  <si>
    <t>Unlimited</t>
  </si>
  <si>
    <t>Trip Budget</t>
  </si>
  <si>
    <t>Here you can set your budget for spending and see how well you are following your budget</t>
  </si>
  <si>
    <t>Total Spending Limit</t>
  </si>
  <si>
    <r>
      <t xml:space="preserve">what is your </t>
    </r>
    <r>
      <rPr>
        <b/>
        <sz val="11"/>
        <color theme="4"/>
        <rFont val="Calibri"/>
        <family val="2"/>
        <scheme val="minor"/>
      </rPr>
      <t>DREEEEEAM</t>
    </r>
    <r>
      <rPr>
        <sz val="11"/>
        <color theme="1"/>
        <rFont val="Calibri"/>
        <family val="2"/>
        <scheme val="minor"/>
      </rPr>
      <t xml:space="preserve"> budget?</t>
    </r>
  </si>
  <si>
    <t>this is your current total budget</t>
  </si>
  <si>
    <t>Travel</t>
  </si>
  <si>
    <t>flights, trains, passes, bus tickets, rental cars.</t>
  </si>
  <si>
    <t>Budget to Live by</t>
  </si>
  <si>
    <t>hostels, hotel rooms, airbnbs, house boats</t>
  </si>
  <si>
    <t>Food</t>
  </si>
  <si>
    <t>daily food budget</t>
  </si>
  <si>
    <t>Activities</t>
  </si>
  <si>
    <t xml:space="preserve">food budget for the whole trip </t>
  </si>
  <si>
    <t>Spending Money</t>
  </si>
  <si>
    <t>Safety Money</t>
  </si>
  <si>
    <t>tours, skydiving, entry fees, museums, cooking classes</t>
  </si>
  <si>
    <t>extra cash to have on hand to purchase whatever your heart desires</t>
  </si>
  <si>
    <t>backup cash to get a flight home / hospital bills</t>
  </si>
  <si>
    <t>Trip Budget - I already have something in mind…</t>
  </si>
  <si>
    <t>Trip Budget - I have no clue…</t>
  </si>
  <si>
    <t>You already know how much you plan on spending for these categories</t>
  </si>
  <si>
    <t>You need a little help coming up with a budget for your trip</t>
  </si>
  <si>
    <t>this is the sum of the categories below.</t>
  </si>
  <si>
    <t>this is the abslute max you can spend.</t>
  </si>
  <si>
    <t>This is what is left in the budget:</t>
  </si>
  <si>
    <t>Packing List &amp; Checklist</t>
  </si>
  <si>
    <t>Undies</t>
  </si>
  <si>
    <t>Miscellaneous</t>
  </si>
  <si>
    <t xml:space="preserve">Keep track of everything you plan on bringing </t>
  </si>
  <si>
    <t>Item</t>
  </si>
  <si>
    <t>Qty</t>
  </si>
  <si>
    <t>Calvin Klien bralette</t>
  </si>
  <si>
    <t>55L backpack</t>
  </si>
  <si>
    <t>Clothes</t>
  </si>
  <si>
    <t>Panties</t>
  </si>
  <si>
    <t>Packing cubes</t>
  </si>
  <si>
    <t>Sports bra</t>
  </si>
  <si>
    <t>Miniature gorilla tripod</t>
  </si>
  <si>
    <t>Levi's jeans (black &amp; denim)</t>
  </si>
  <si>
    <t>Regular socks</t>
  </si>
  <si>
    <t>microfiber towel</t>
  </si>
  <si>
    <t>Jean shorts</t>
  </si>
  <si>
    <t>Hiking socks</t>
  </si>
  <si>
    <t xml:space="preserve">toothbrush for dirty shoes </t>
  </si>
  <si>
    <t>Black polka dot skirt</t>
  </si>
  <si>
    <t>dirty clothes bag</t>
  </si>
  <si>
    <t>Blazers (leather &amp; check)</t>
  </si>
  <si>
    <t>dirty shoes back</t>
  </si>
  <si>
    <t>Down jacket</t>
  </si>
  <si>
    <t>laundry detergent</t>
  </si>
  <si>
    <t>graphic tee</t>
  </si>
  <si>
    <t xml:space="preserve">fanny pack </t>
  </si>
  <si>
    <t>high neck bramis (black, grey, &amp; pink)</t>
  </si>
  <si>
    <t>Technology</t>
  </si>
  <si>
    <t>tote bag</t>
  </si>
  <si>
    <t>tank top (navy &amp; black)</t>
  </si>
  <si>
    <t>going out tops</t>
  </si>
  <si>
    <t>Phone charger</t>
  </si>
  <si>
    <t>black turtleneck</t>
  </si>
  <si>
    <t>Laptop &amp; charger</t>
  </si>
  <si>
    <t>black romper</t>
  </si>
  <si>
    <t>Portable charger</t>
  </si>
  <si>
    <t>black maxi dress</t>
  </si>
  <si>
    <t>Power outlet adapter (EU &amp; UK)</t>
  </si>
  <si>
    <t>Toiletries &amp; Medications</t>
  </si>
  <si>
    <t>Black running shorts</t>
  </si>
  <si>
    <t>Bluetooth camera button</t>
  </si>
  <si>
    <t>Navy biker shorts</t>
  </si>
  <si>
    <t>airpods</t>
  </si>
  <si>
    <t>shampoo</t>
  </si>
  <si>
    <t>longsleeve running shirt</t>
  </si>
  <si>
    <t>digital camera &amp; charger</t>
  </si>
  <si>
    <t>conditioner</t>
  </si>
  <si>
    <t>shortsleeve running shirt</t>
  </si>
  <si>
    <t>leave in conditioner</t>
  </si>
  <si>
    <t>rain jacket</t>
  </si>
  <si>
    <t>face wash</t>
  </si>
  <si>
    <t>moisturizer</t>
  </si>
  <si>
    <t>sunscreen</t>
  </si>
  <si>
    <t>bar of soap</t>
  </si>
  <si>
    <t>Shoes</t>
  </si>
  <si>
    <t>toothbrush</t>
  </si>
  <si>
    <t>toothpaste</t>
  </si>
  <si>
    <t>Veja sneakers</t>
  </si>
  <si>
    <t>nausea medicine</t>
  </si>
  <si>
    <t>Waterproof birkenstocks</t>
  </si>
  <si>
    <t>sleep aid</t>
  </si>
  <si>
    <t>Hiking shoes</t>
  </si>
  <si>
    <t>advil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</si>
</sst>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F800]dddd\,\ mmmm\ dd\,\ yyyy"/>
    <numFmt numFmtId="165" formatCode="d"/>
  </numFmts>
  <fonts count="30">
    <font>
      <sz val="11"/>
      <color theme="1"/>
      <name val="Calibri"/>
      <family val="2"/>
      <scheme val="minor"/>
    </font>
    <font>
      <sz val="11"/>
      <color theme="1"/>
      <name val="Calibri"/>
      <family val="2"/>
      <scheme val="minor"/>
    </font>
    <font>
      <b/>
      <sz val="15"/>
      <color theme="3"/>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sz val="16"/>
      <color theme="1"/>
      <name val="Calibri"/>
      <family val="2"/>
      <scheme val="minor"/>
    </font>
    <font>
      <sz val="8"/>
      <name val="Calibri"/>
      <family val="2"/>
      <scheme val="minor"/>
    </font>
    <font>
      <sz val="11"/>
      <color theme="4" tint="-0.24994659260841701"/>
      <name val="Calibri"/>
      <family val="2"/>
      <scheme val="minor"/>
    </font>
    <font>
      <sz val="11"/>
      <color theme="1" tint="0.34998626667073579"/>
      <name val="Calibri"/>
      <family val="2"/>
      <scheme val="minor"/>
    </font>
    <font>
      <sz val="11"/>
      <name val="Calibri"/>
      <family val="2"/>
      <scheme val="minor"/>
    </font>
    <font>
      <b/>
      <sz val="11"/>
      <color theme="1" tint="0.34998626667073579"/>
      <name val="Calibri"/>
      <family val="2"/>
      <scheme val="minor"/>
    </font>
    <font>
      <sz val="11"/>
      <color theme="1" tint="0.24994659260841701"/>
      <name val="Calibri"/>
      <family val="2"/>
      <scheme val="minor"/>
    </font>
    <font>
      <sz val="35"/>
      <color theme="4"/>
      <name val="Calibri"/>
      <family val="2"/>
      <scheme val="minor"/>
    </font>
    <font>
      <sz val="10"/>
      <name val="Century Gothic"/>
      <family val="2"/>
    </font>
    <font>
      <sz val="12"/>
      <color theme="4" tint="-0.24994659260841701"/>
      <name val="Calibri Light"/>
      <family val="1"/>
      <scheme val="major"/>
    </font>
    <font>
      <sz val="12"/>
      <name val="Calibri"/>
      <family val="2"/>
      <scheme val="minor"/>
    </font>
    <font>
      <b/>
      <sz val="16"/>
      <name val="Calibri"/>
      <family val="2"/>
      <scheme val="minor"/>
    </font>
    <font>
      <sz val="35"/>
      <name val="Calibri"/>
      <family val="2"/>
      <scheme val="minor"/>
    </font>
    <font>
      <b/>
      <sz val="18"/>
      <name val="Calibri"/>
      <family val="2"/>
      <scheme val="minor"/>
    </font>
    <font>
      <b/>
      <sz val="11"/>
      <name val="Calibri"/>
      <family val="2"/>
      <scheme val="minor"/>
    </font>
    <font>
      <b/>
      <sz val="14"/>
      <name val="Calibri"/>
      <family val="2"/>
      <scheme val="minor"/>
    </font>
    <font>
      <b/>
      <sz val="11"/>
      <color theme="4"/>
      <name val="Calibri"/>
      <family val="2"/>
      <scheme val="minor"/>
    </font>
    <font>
      <sz val="9"/>
      <color indexed="81"/>
      <name val="Tahoma"/>
      <family val="2"/>
    </font>
    <font>
      <b/>
      <sz val="9"/>
      <color indexed="81"/>
      <name val="Tahoma"/>
      <family val="2"/>
    </font>
    <font>
      <sz val="11"/>
      <color theme="7" tint="-0.249977111117893"/>
      <name val="Calibri"/>
      <family val="2"/>
      <scheme val="minor"/>
    </font>
    <font>
      <sz val="11"/>
      <color theme="4" tint="-0.249977111117893"/>
      <name val="Calibri"/>
      <family val="2"/>
      <scheme val="minor"/>
    </font>
    <font>
      <sz val="11"/>
      <color theme="7" tint="-0.499984740745262"/>
      <name val="Calibri"/>
      <family val="2"/>
      <scheme val="minor"/>
    </font>
    <font>
      <b/>
      <sz val="14"/>
      <color theme="1"/>
      <name val="Calibri"/>
      <family val="2"/>
      <scheme val="minor"/>
    </font>
  </fonts>
  <fills count="18">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7"/>
        <bgColor indexed="64"/>
      </patternFill>
    </fill>
    <fill>
      <patternFill patternType="solid">
        <fgColor theme="5" tint="0.59999389629810485"/>
        <bgColor indexed="64"/>
      </patternFill>
    </fill>
    <fill>
      <patternFill patternType="solid">
        <fgColor theme="6" tint="-9.9978637043366805E-2"/>
        <bgColor indexed="64"/>
      </patternFill>
    </fill>
    <fill>
      <patternFill patternType="solid">
        <fgColor theme="5" tint="0.39997558519241921"/>
        <bgColor indexed="64"/>
      </patternFill>
    </fill>
    <fill>
      <patternFill patternType="solid">
        <fgColor theme="5"/>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FCFFE1"/>
        <bgColor indexed="64"/>
      </patternFill>
    </fill>
    <fill>
      <patternFill patternType="solid">
        <fgColor theme="8" tint="0.39997558519241921"/>
        <bgColor indexed="64"/>
      </patternFill>
    </fill>
    <fill>
      <patternFill patternType="solid">
        <fgColor theme="6"/>
        <bgColor indexed="64"/>
      </patternFill>
    </fill>
    <fill>
      <patternFill patternType="solid">
        <fgColor theme="4" tint="0.39997558519241921"/>
        <bgColor indexed="64"/>
      </patternFill>
    </fill>
  </fills>
  <borders count="68">
    <border>
      <left/>
      <right/>
      <top/>
      <bottom/>
      <diagonal/>
    </border>
    <border>
      <left/>
      <right/>
      <top/>
      <bottom style="thick">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6" tint="-0.499984740745262"/>
      </left>
      <right style="medium">
        <color theme="6" tint="-0.499984740745262"/>
      </right>
      <top style="medium">
        <color theme="6" tint="-0.499984740745262"/>
      </top>
      <bottom style="medium">
        <color theme="6" tint="-0.499984740745262"/>
      </bottom>
      <diagonal/>
    </border>
    <border>
      <left style="medium">
        <color theme="6" tint="-0.499984740745262"/>
      </left>
      <right/>
      <top style="medium">
        <color theme="6" tint="-0.499984740745262"/>
      </top>
      <bottom/>
      <diagonal/>
    </border>
    <border>
      <left/>
      <right/>
      <top style="medium">
        <color theme="6" tint="-0.499984740745262"/>
      </top>
      <bottom/>
      <diagonal/>
    </border>
    <border>
      <left/>
      <right style="medium">
        <color theme="6" tint="-0.499984740745262"/>
      </right>
      <top style="medium">
        <color theme="6" tint="-0.499984740745262"/>
      </top>
      <bottom/>
      <diagonal/>
    </border>
    <border>
      <left style="medium">
        <color theme="6" tint="-0.499984740745262"/>
      </left>
      <right/>
      <top/>
      <bottom/>
      <diagonal/>
    </border>
    <border>
      <left/>
      <right style="medium">
        <color theme="6" tint="-0.499984740745262"/>
      </right>
      <top/>
      <bottom/>
      <diagonal/>
    </border>
    <border>
      <left style="medium">
        <color theme="6" tint="-0.499984740745262"/>
      </left>
      <right/>
      <top/>
      <bottom style="medium">
        <color theme="6" tint="-0.499984740745262"/>
      </bottom>
      <diagonal/>
    </border>
    <border>
      <left/>
      <right/>
      <top/>
      <bottom style="medium">
        <color theme="6" tint="-0.499984740745262"/>
      </bottom>
      <diagonal/>
    </border>
    <border>
      <left/>
      <right style="medium">
        <color theme="6" tint="-0.499984740745262"/>
      </right>
      <top/>
      <bottom style="medium">
        <color theme="6"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top/>
      <bottom style="medium">
        <color theme="4" tint="-0.24994659260841701"/>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style="medium">
        <color theme="6" tint="-0.499984740745262"/>
      </left>
      <right style="medium">
        <color theme="6" tint="-0.499984740745262"/>
      </right>
      <top style="medium">
        <color theme="6" tint="-0.499984740745262"/>
      </top>
      <bottom/>
      <diagonal/>
    </border>
    <border>
      <left style="medium">
        <color theme="6" tint="-0.499984740745262"/>
      </left>
      <right style="medium">
        <color theme="6" tint="-0.499984740745262"/>
      </right>
      <top/>
      <bottom/>
      <diagonal/>
    </border>
    <border>
      <left style="medium">
        <color theme="6" tint="-0.499984740745262"/>
      </left>
      <right style="medium">
        <color theme="6" tint="-0.499984740745262"/>
      </right>
      <top/>
      <bottom style="medium">
        <color theme="6" tint="-0.499984740745262"/>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style="thin">
        <color theme="6" tint="-0.499984740745262"/>
      </right>
      <top/>
      <bottom style="thin">
        <color theme="6" tint="-0.499984740745262"/>
      </bottom>
      <diagonal/>
    </border>
    <border>
      <left style="thin">
        <color indexed="64"/>
      </left>
      <right style="thin">
        <color indexed="64"/>
      </right>
      <top/>
      <bottom/>
      <diagonal/>
    </border>
    <border>
      <left style="thin">
        <color theme="6" tint="-0.499984740745262"/>
      </left>
      <right style="thin">
        <color theme="6" tint="-0.499984740745262"/>
      </right>
      <top style="thin">
        <color theme="6" tint="-0.499984740745262"/>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top/>
      <bottom/>
      <diagonal/>
    </border>
  </borders>
  <cellStyleXfs count="13">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165" fontId="10" fillId="0" borderId="0">
      <alignment horizontal="left" indent="1"/>
    </xf>
    <xf numFmtId="0" fontId="11" fillId="5" borderId="0" applyNumberFormat="0" applyFont="0" applyBorder="0" applyAlignment="0">
      <alignment horizontal="left" vertical="center" indent="1"/>
    </xf>
    <xf numFmtId="0" fontId="13" fillId="0" borderId="0">
      <alignment vertical="top"/>
    </xf>
    <xf numFmtId="0" fontId="14" fillId="0" borderId="0" applyFill="0" applyBorder="0" applyProtection="0">
      <alignment vertical="center"/>
    </xf>
    <xf numFmtId="0" fontId="9" fillId="0" borderId="37" applyNumberFormat="0" applyFill="0" applyProtection="0">
      <alignment horizontal="left" vertical="center" indent="1"/>
    </xf>
    <xf numFmtId="0" fontId="9" fillId="0" borderId="0" applyFill="0" applyProtection="0"/>
    <xf numFmtId="0" fontId="13" fillId="0" borderId="0" applyFill="0" applyProtection="0"/>
    <xf numFmtId="0" fontId="16" fillId="0" borderId="0">
      <alignment horizontal="left" indent="1"/>
    </xf>
    <xf numFmtId="0" fontId="12" fillId="5" borderId="0" applyBorder="0" applyProtection="0">
      <alignment horizontal="left" vertical="top" wrapText="1" indent="1"/>
    </xf>
  </cellStyleXfs>
  <cellXfs count="324">
    <xf numFmtId="0" fontId="0" fillId="0" borderId="0" xfId="0"/>
    <xf numFmtId="0" fontId="0" fillId="3" borderId="0" xfId="0" applyFill="1"/>
    <xf numFmtId="0" fontId="0" fillId="6" borderId="0" xfId="0" applyFill="1"/>
    <xf numFmtId="0" fontId="0" fillId="4" borderId="0" xfId="0" applyFill="1"/>
    <xf numFmtId="0" fontId="5" fillId="4" borderId="0" xfId="0" applyFont="1" applyFill="1"/>
    <xf numFmtId="0" fontId="0" fillId="4" borderId="0" xfId="0" applyFill="1" applyAlignment="1">
      <alignment vertical="top"/>
    </xf>
    <xf numFmtId="0" fontId="0" fillId="3" borderId="25" xfId="0" applyFill="1" applyBorder="1"/>
    <xf numFmtId="0" fontId="0" fillId="3" borderId="27" xfId="0" applyFill="1" applyBorder="1"/>
    <xf numFmtId="0" fontId="0" fillId="3" borderId="30" xfId="0" applyFill="1" applyBorder="1"/>
    <xf numFmtId="0" fontId="0" fillId="6" borderId="31" xfId="0" applyFill="1" applyBorder="1"/>
    <xf numFmtId="0" fontId="0" fillId="6" borderId="32" xfId="0" applyFill="1" applyBorder="1"/>
    <xf numFmtId="0" fontId="3" fillId="7" borderId="35" xfId="0" applyFont="1" applyFill="1" applyBorder="1"/>
    <xf numFmtId="0" fontId="3" fillId="7" borderId="33" xfId="0" applyFont="1" applyFill="1" applyBorder="1"/>
    <xf numFmtId="0" fontId="3" fillId="7" borderId="34" xfId="0" applyFont="1" applyFill="1" applyBorder="1"/>
    <xf numFmtId="0" fontId="0" fillId="5" borderId="31" xfId="0" applyFill="1" applyBorder="1"/>
    <xf numFmtId="0" fontId="3" fillId="7" borderId="33" xfId="0" applyFont="1" applyFill="1" applyBorder="1" applyAlignment="1">
      <alignment horizontal="left"/>
    </xf>
    <xf numFmtId="0" fontId="3" fillId="7" borderId="34" xfId="0" applyFont="1" applyFill="1" applyBorder="1" applyAlignment="1">
      <alignment horizontal="left"/>
    </xf>
    <xf numFmtId="0" fontId="3" fillId="8" borderId="25" xfId="0" applyFont="1" applyFill="1" applyBorder="1"/>
    <xf numFmtId="0" fontId="3" fillId="8" borderId="27" xfId="0" applyFont="1" applyFill="1" applyBorder="1"/>
    <xf numFmtId="0" fontId="0" fillId="6" borderId="36" xfId="0" applyFill="1" applyBorder="1"/>
    <xf numFmtId="0" fontId="3" fillId="8" borderId="30" xfId="0" applyFont="1" applyFill="1" applyBorder="1"/>
    <xf numFmtId="164" fontId="0" fillId="6" borderId="31" xfId="0" applyNumberFormat="1" applyFill="1" applyBorder="1" applyAlignment="1">
      <alignment horizontal="left"/>
    </xf>
    <xf numFmtId="0" fontId="13" fillId="6" borderId="0" xfId="6" applyFill="1">
      <alignment vertical="top"/>
    </xf>
    <xf numFmtId="0" fontId="18" fillId="6" borderId="0" xfId="6" applyFont="1" applyFill="1" applyAlignment="1"/>
    <xf numFmtId="0" fontId="11" fillId="6" borderId="0" xfId="6" applyFont="1" applyFill="1">
      <alignment vertical="top"/>
    </xf>
    <xf numFmtId="0" fontId="11" fillId="6" borderId="0" xfId="8" applyFont="1" applyFill="1" applyBorder="1" applyAlignment="1">
      <alignment vertical="center"/>
    </xf>
    <xf numFmtId="0" fontId="19" fillId="6" borderId="0" xfId="7" applyFont="1" applyFill="1" applyAlignment="1">
      <alignment horizontal="left" vertical="center"/>
    </xf>
    <xf numFmtId="0" fontId="9" fillId="6" borderId="0" xfId="9" applyFill="1"/>
    <xf numFmtId="0" fontId="15" fillId="6" borderId="0" xfId="6" applyFont="1" applyFill="1">
      <alignment vertical="top"/>
    </xf>
    <xf numFmtId="0" fontId="13" fillId="6" borderId="0" xfId="10" applyFill="1"/>
    <xf numFmtId="0" fontId="13" fillId="6" borderId="0" xfId="6" applyFill="1" applyAlignment="1">
      <alignment horizontal="left" indent="1"/>
    </xf>
    <xf numFmtId="165" fontId="13" fillId="6" borderId="0" xfId="6" applyNumberFormat="1" applyFill="1">
      <alignment vertical="top"/>
    </xf>
    <xf numFmtId="0" fontId="13" fillId="6" borderId="0" xfId="6" applyFill="1" applyAlignment="1">
      <alignment horizontal="right"/>
    </xf>
    <xf numFmtId="0" fontId="11" fillId="9" borderId="38" xfId="8" applyFont="1" applyFill="1" applyBorder="1">
      <alignment horizontal="left" vertical="center" indent="1"/>
    </xf>
    <xf numFmtId="0" fontId="11" fillId="9" borderId="39" xfId="8" applyFont="1" applyFill="1" applyBorder="1">
      <alignment horizontal="left" vertical="center" indent="1"/>
    </xf>
    <xf numFmtId="165" fontId="11" fillId="6" borderId="40" xfId="4" applyFont="1" applyFill="1" applyBorder="1">
      <alignment horizontal="left" indent="1"/>
    </xf>
    <xf numFmtId="0" fontId="11" fillId="6" borderId="41" xfId="6" applyFont="1" applyFill="1" applyBorder="1">
      <alignment vertical="top"/>
    </xf>
    <xf numFmtId="165" fontId="11" fillId="6" borderId="41" xfId="4" applyFont="1" applyFill="1" applyBorder="1">
      <alignment horizontal="left" indent="1"/>
    </xf>
    <xf numFmtId="0" fontId="11" fillId="10" borderId="42" xfId="5" applyFont="1" applyFill="1" applyBorder="1" applyAlignment="1">
      <alignment vertical="top"/>
    </xf>
    <xf numFmtId="0" fontId="11" fillId="6" borderId="42" xfId="6" applyFont="1" applyFill="1" applyBorder="1">
      <alignment vertical="top"/>
    </xf>
    <xf numFmtId="165" fontId="11" fillId="10" borderId="40" xfId="5" applyNumberFormat="1" applyFont="1" applyFill="1" applyBorder="1" applyAlignment="1">
      <alignment horizontal="left" wrapText="1" indent="1"/>
    </xf>
    <xf numFmtId="0" fontId="22" fillId="6" borderId="0" xfId="6" applyFont="1" applyFill="1" applyAlignment="1"/>
    <xf numFmtId="0" fontId="17" fillId="9" borderId="11" xfId="9" applyFont="1" applyFill="1" applyBorder="1" applyAlignment="1">
      <alignment horizontal="center"/>
    </xf>
    <xf numFmtId="0" fontId="17" fillId="3" borderId="38" xfId="11" applyFont="1" applyFill="1" applyBorder="1" applyAlignment="1">
      <alignment horizontal="center"/>
    </xf>
    <xf numFmtId="0" fontId="17" fillId="3" borderId="11" xfId="11" applyFont="1" applyFill="1" applyBorder="1" applyAlignment="1">
      <alignment horizontal="center"/>
    </xf>
    <xf numFmtId="0" fontId="11" fillId="6" borderId="41" xfId="6" applyFont="1" applyFill="1" applyBorder="1" applyAlignment="1">
      <alignment vertical="top" wrapText="1"/>
    </xf>
    <xf numFmtId="0" fontId="3" fillId="4" borderId="0" xfId="0" applyFont="1" applyFill="1"/>
    <xf numFmtId="0" fontId="23" fillId="4" borderId="0" xfId="0" applyFont="1" applyFill="1"/>
    <xf numFmtId="165" fontId="10" fillId="8" borderId="6" xfId="4" applyFill="1" applyBorder="1" applyAlignment="1">
      <alignment horizontal="left" vertical="top"/>
    </xf>
    <xf numFmtId="165" fontId="10" fillId="8" borderId="0" xfId="4" applyFill="1" applyAlignment="1">
      <alignment horizontal="left" vertical="top"/>
    </xf>
    <xf numFmtId="165" fontId="10" fillId="8" borderId="7" xfId="4" applyFill="1" applyBorder="1" applyAlignment="1">
      <alignment horizontal="left" vertical="top"/>
    </xf>
    <xf numFmtId="165" fontId="0" fillId="8" borderId="6" xfId="0" applyNumberFormat="1" applyFill="1" applyBorder="1" applyAlignment="1">
      <alignment horizontal="left" vertical="top"/>
    </xf>
    <xf numFmtId="165" fontId="0" fillId="8" borderId="0" xfId="0" applyNumberFormat="1" applyFill="1" applyAlignment="1">
      <alignment horizontal="left" vertical="top"/>
    </xf>
    <xf numFmtId="165" fontId="0" fillId="8" borderId="7" xfId="0" applyNumberFormat="1" applyFill="1" applyBorder="1" applyAlignment="1">
      <alignment horizontal="left" vertical="top"/>
    </xf>
    <xf numFmtId="165" fontId="10" fillId="8" borderId="6" xfId="5" applyNumberFormat="1" applyFont="1" applyFill="1" applyBorder="1" applyAlignment="1">
      <alignment horizontal="left" vertical="top" wrapText="1"/>
    </xf>
    <xf numFmtId="165" fontId="10" fillId="8" borderId="0" xfId="5" applyNumberFormat="1" applyFont="1" applyFill="1" applyBorder="1" applyAlignment="1">
      <alignment horizontal="left" vertical="top" wrapText="1"/>
    </xf>
    <xf numFmtId="165" fontId="10" fillId="8" borderId="7" xfId="5" applyNumberFormat="1" applyFont="1" applyFill="1" applyBorder="1" applyAlignment="1">
      <alignment horizontal="left" vertical="top" wrapText="1"/>
    </xf>
    <xf numFmtId="165" fontId="0" fillId="8" borderId="6" xfId="5" applyNumberFormat="1" applyFont="1" applyFill="1" applyBorder="1" applyAlignment="1">
      <alignment horizontal="left" vertical="top"/>
    </xf>
    <xf numFmtId="165" fontId="0" fillId="8" borderId="0" xfId="5" applyNumberFormat="1" applyFont="1" applyFill="1" applyBorder="1" applyAlignment="1">
      <alignment horizontal="left" vertical="top"/>
    </xf>
    <xf numFmtId="165" fontId="0" fillId="8" borderId="7" xfId="5" applyNumberFormat="1" applyFont="1" applyFill="1" applyBorder="1" applyAlignment="1">
      <alignment horizontal="left" vertical="top"/>
    </xf>
    <xf numFmtId="0" fontId="0" fillId="10" borderId="0" xfId="0" applyFill="1"/>
    <xf numFmtId="164" fontId="17" fillId="3" borderId="38" xfId="11" applyNumberFormat="1" applyFont="1" applyFill="1" applyBorder="1" applyAlignment="1">
      <alignment horizontal="center"/>
    </xf>
    <xf numFmtId="0" fontId="2" fillId="0" borderId="3" xfId="3" applyFill="1" applyBorder="1" applyAlignment="1">
      <alignment horizontal="left" vertical="center" indent="1"/>
    </xf>
    <xf numFmtId="0" fontId="2" fillId="0" borderId="4" xfId="3" applyFill="1" applyBorder="1" applyAlignment="1">
      <alignment horizontal="left" vertical="center" indent="1"/>
    </xf>
    <xf numFmtId="0" fontId="2" fillId="0" borderId="5" xfId="3" applyFill="1" applyBorder="1" applyAlignment="1">
      <alignment horizontal="left" vertical="center" indent="1"/>
    </xf>
    <xf numFmtId="165" fontId="10" fillId="8" borderId="3" xfId="4" applyFill="1" applyBorder="1" applyAlignment="1">
      <alignment horizontal="left" vertical="top"/>
    </xf>
    <xf numFmtId="165" fontId="10" fillId="8" borderId="4" xfId="4" applyFill="1" applyBorder="1" applyAlignment="1">
      <alignment horizontal="left" vertical="top"/>
    </xf>
    <xf numFmtId="165" fontId="10" fillId="8" borderId="5" xfId="4" applyFill="1" applyBorder="1" applyAlignment="1">
      <alignment horizontal="left" vertical="top"/>
    </xf>
    <xf numFmtId="165" fontId="0" fillId="8" borderId="8" xfId="0" applyNumberFormat="1" applyFill="1" applyBorder="1" applyAlignment="1">
      <alignment horizontal="left" vertical="top"/>
    </xf>
    <xf numFmtId="165" fontId="0" fillId="8" borderId="9" xfId="0" applyNumberFormat="1" applyFill="1" applyBorder="1" applyAlignment="1">
      <alignment horizontal="left" vertical="top"/>
    </xf>
    <xf numFmtId="165" fontId="0" fillId="8" borderId="10" xfId="0" applyNumberFormat="1" applyFill="1" applyBorder="1" applyAlignment="1">
      <alignment horizontal="left" vertical="top"/>
    </xf>
    <xf numFmtId="165" fontId="10" fillId="10" borderId="4" xfId="4" applyFill="1" applyBorder="1" applyAlignment="1">
      <alignment horizontal="left" vertical="top"/>
    </xf>
    <xf numFmtId="165" fontId="10" fillId="10" borderId="5" xfId="4" applyFill="1" applyBorder="1" applyAlignment="1">
      <alignment horizontal="left" vertical="top"/>
    </xf>
    <xf numFmtId="165" fontId="0" fillId="10" borderId="6" xfId="0" applyNumberFormat="1" applyFill="1" applyBorder="1" applyAlignment="1">
      <alignment horizontal="left" vertical="top"/>
    </xf>
    <xf numFmtId="165" fontId="0" fillId="10" borderId="0" xfId="0" applyNumberFormat="1" applyFill="1" applyAlignment="1">
      <alignment horizontal="left" vertical="top"/>
    </xf>
    <xf numFmtId="165" fontId="0" fillId="10" borderId="7" xfId="0" applyNumberFormat="1" applyFill="1" applyBorder="1" applyAlignment="1">
      <alignment horizontal="left" vertical="top"/>
    </xf>
    <xf numFmtId="165" fontId="10" fillId="10" borderId="6" xfId="5" applyNumberFormat="1" applyFont="1" applyFill="1" applyBorder="1" applyAlignment="1">
      <alignment horizontal="left" vertical="top" wrapText="1"/>
    </xf>
    <xf numFmtId="165" fontId="10" fillId="10" borderId="0" xfId="5" applyNumberFormat="1" applyFont="1" applyFill="1" applyBorder="1" applyAlignment="1">
      <alignment horizontal="left" vertical="top" wrapText="1"/>
    </xf>
    <xf numFmtId="165" fontId="10" fillId="10" borderId="7" xfId="5" applyNumberFormat="1" applyFont="1" applyFill="1" applyBorder="1" applyAlignment="1">
      <alignment horizontal="left" vertical="top" wrapText="1"/>
    </xf>
    <xf numFmtId="165" fontId="0" fillId="10" borderId="6" xfId="5" applyNumberFormat="1" applyFont="1" applyFill="1" applyBorder="1" applyAlignment="1">
      <alignment horizontal="left" vertical="top"/>
    </xf>
    <xf numFmtId="165" fontId="0" fillId="10" borderId="0" xfId="5" applyNumberFormat="1" applyFont="1" applyFill="1" applyBorder="1" applyAlignment="1">
      <alignment horizontal="left" vertical="top"/>
    </xf>
    <xf numFmtId="165" fontId="0" fillId="10" borderId="7" xfId="5" applyNumberFormat="1" applyFont="1" applyFill="1" applyBorder="1" applyAlignment="1">
      <alignment horizontal="left" vertical="top"/>
    </xf>
    <xf numFmtId="165" fontId="10" fillId="10" borderId="6" xfId="4" applyFill="1" applyBorder="1" applyAlignment="1">
      <alignment horizontal="left" vertical="top"/>
    </xf>
    <xf numFmtId="165" fontId="10" fillId="10" borderId="0" xfId="4" applyFill="1" applyAlignment="1">
      <alignment horizontal="left" vertical="top"/>
    </xf>
    <xf numFmtId="165" fontId="10" fillId="10" borderId="7" xfId="4" applyFill="1" applyBorder="1" applyAlignment="1">
      <alignment horizontal="left" vertical="top"/>
    </xf>
    <xf numFmtId="165" fontId="0" fillId="10" borderId="8" xfId="0" applyNumberFormat="1" applyFill="1" applyBorder="1" applyAlignment="1">
      <alignment horizontal="left" vertical="top"/>
    </xf>
    <xf numFmtId="165" fontId="0" fillId="10" borderId="9" xfId="0" applyNumberFormat="1" applyFill="1" applyBorder="1" applyAlignment="1">
      <alignment horizontal="left" vertical="top"/>
    </xf>
    <xf numFmtId="165" fontId="0" fillId="10" borderId="10" xfId="0" applyNumberFormat="1" applyFill="1" applyBorder="1" applyAlignment="1">
      <alignment horizontal="left" vertical="top"/>
    </xf>
    <xf numFmtId="165" fontId="0" fillId="11" borderId="4" xfId="0" applyNumberFormat="1" applyFill="1" applyBorder="1" applyAlignment="1">
      <alignment horizontal="left"/>
    </xf>
    <xf numFmtId="165" fontId="0" fillId="11" borderId="5" xfId="0" applyNumberFormat="1" applyFill="1" applyBorder="1" applyAlignment="1">
      <alignment horizontal="left"/>
    </xf>
    <xf numFmtId="165" fontId="0" fillId="11" borderId="6" xfId="0" applyNumberFormat="1" applyFill="1" applyBorder="1" applyAlignment="1">
      <alignment horizontal="left"/>
    </xf>
    <xf numFmtId="165" fontId="0" fillId="11" borderId="0" xfId="0" applyNumberFormat="1" applyFill="1" applyAlignment="1">
      <alignment horizontal="left"/>
    </xf>
    <xf numFmtId="165" fontId="0" fillId="11" borderId="7" xfId="0" applyNumberFormat="1" applyFill="1" applyBorder="1" applyAlignment="1">
      <alignment horizontal="left"/>
    </xf>
    <xf numFmtId="165" fontId="0" fillId="11" borderId="8" xfId="0" applyNumberFormat="1" applyFill="1" applyBorder="1" applyAlignment="1">
      <alignment horizontal="left"/>
    </xf>
    <xf numFmtId="165" fontId="0" fillId="11" borderId="9" xfId="0" applyNumberFormat="1" applyFill="1" applyBorder="1" applyAlignment="1">
      <alignment horizontal="left"/>
    </xf>
    <xf numFmtId="165" fontId="0" fillId="11" borderId="10" xfId="0" applyNumberFormat="1" applyFill="1" applyBorder="1" applyAlignment="1">
      <alignment horizontal="left"/>
    </xf>
    <xf numFmtId="0" fontId="11" fillId="9" borderId="11" xfId="8" applyFont="1" applyFill="1" applyBorder="1">
      <alignment horizontal="left" vertical="center" indent="1"/>
    </xf>
    <xf numFmtId="0" fontId="0" fillId="6" borderId="0" xfId="0" applyFill="1" applyAlignment="1">
      <alignment vertical="top"/>
    </xf>
    <xf numFmtId="0" fontId="9" fillId="6" borderId="0" xfId="8" applyFill="1" applyBorder="1" applyAlignment="1">
      <alignment vertical="center"/>
    </xf>
    <xf numFmtId="0" fontId="14" fillId="6" borderId="0" xfId="7" applyFill="1" applyBorder="1" applyAlignment="1">
      <alignment horizontal="right" vertical="center"/>
    </xf>
    <xf numFmtId="165" fontId="11" fillId="10" borderId="40" xfId="4" applyFont="1" applyFill="1" applyBorder="1">
      <alignment horizontal="left" indent="1"/>
    </xf>
    <xf numFmtId="0" fontId="11" fillId="10" borderId="42" xfId="6" applyFont="1" applyFill="1" applyBorder="1">
      <alignment vertical="top"/>
    </xf>
    <xf numFmtId="0" fontId="11" fillId="10" borderId="18" xfId="6" applyFont="1" applyFill="1" applyBorder="1">
      <alignment vertical="top"/>
    </xf>
    <xf numFmtId="0" fontId="0" fillId="12" borderId="0" xfId="0" applyFill="1"/>
    <xf numFmtId="0" fontId="11" fillId="6" borderId="41" xfId="0" applyFont="1" applyFill="1" applyBorder="1" applyAlignment="1">
      <alignment vertical="top"/>
    </xf>
    <xf numFmtId="0" fontId="11" fillId="6" borderId="0" xfId="0" applyFont="1" applyFill="1" applyAlignment="1">
      <alignment vertical="top"/>
    </xf>
    <xf numFmtId="165" fontId="11" fillId="10" borderId="40" xfId="5" applyNumberFormat="1" applyFont="1" applyFill="1" applyBorder="1" applyAlignment="1">
      <alignment horizontal="left" indent="1"/>
    </xf>
    <xf numFmtId="0" fontId="7" fillId="4" borderId="0" xfId="0" applyFont="1" applyFill="1"/>
    <xf numFmtId="0" fontId="13" fillId="6" borderId="0" xfId="6" applyFill="1" applyAlignment="1"/>
    <xf numFmtId="0" fontId="11" fillId="6" borderId="0" xfId="5" applyFont="1" applyFill="1" applyAlignment="1"/>
    <xf numFmtId="164" fontId="17" fillId="6" borderId="0" xfId="11" applyNumberFormat="1" applyFont="1" applyFill="1" applyAlignment="1">
      <alignment horizontal="center"/>
    </xf>
    <xf numFmtId="0" fontId="17" fillId="6" borderId="0" xfId="11" applyFont="1" applyFill="1" applyAlignment="1">
      <alignment horizontal="center"/>
    </xf>
    <xf numFmtId="0" fontId="21" fillId="10" borderId="41" xfId="6" applyFont="1" applyFill="1" applyBorder="1" applyAlignment="1">
      <alignment horizontal="left" vertical="top"/>
    </xf>
    <xf numFmtId="0" fontId="21" fillId="6" borderId="41" xfId="6" applyFont="1" applyFill="1" applyBorder="1" applyAlignment="1">
      <alignment horizontal="left" vertical="top"/>
    </xf>
    <xf numFmtId="0" fontId="21" fillId="10" borderId="40" xfId="12" applyFont="1" applyFill="1" applyBorder="1" applyAlignment="1">
      <alignment vertical="top" wrapText="1"/>
    </xf>
    <xf numFmtId="0" fontId="21" fillId="10" borderId="42" xfId="12" applyFont="1" applyFill="1" applyBorder="1" applyAlignment="1">
      <alignment vertical="top" wrapText="1"/>
    </xf>
    <xf numFmtId="0" fontId="0" fillId="6" borderId="47" xfId="0" applyFill="1" applyBorder="1"/>
    <xf numFmtId="164" fontId="0" fillId="5" borderId="30" xfId="0" applyNumberFormat="1" applyFill="1" applyBorder="1" applyAlignment="1">
      <alignment horizontal="left"/>
    </xf>
    <xf numFmtId="164" fontId="0" fillId="5" borderId="31" xfId="0" applyNumberFormat="1" applyFill="1" applyBorder="1" applyAlignment="1">
      <alignment horizontal="left"/>
    </xf>
    <xf numFmtId="164" fontId="0" fillId="6" borderId="24" xfId="0" applyNumberFormat="1" applyFill="1" applyBorder="1" applyAlignment="1">
      <alignment horizontal="left"/>
    </xf>
    <xf numFmtId="164" fontId="0" fillId="6" borderId="28" xfId="0" applyNumberFormat="1" applyFill="1" applyBorder="1" applyAlignment="1">
      <alignment horizontal="left"/>
    </xf>
    <xf numFmtId="44" fontId="0" fillId="3" borderId="2" xfId="1" applyFont="1" applyFill="1" applyBorder="1" applyAlignment="1"/>
    <xf numFmtId="9" fontId="0" fillId="3" borderId="2" xfId="2" applyFont="1" applyFill="1" applyBorder="1" applyAlignment="1"/>
    <xf numFmtId="0" fontId="20" fillId="6" borderId="0" xfId="7" applyFont="1" applyFill="1" applyBorder="1" applyAlignment="1">
      <alignment horizontal="left"/>
    </xf>
    <xf numFmtId="0" fontId="21" fillId="10" borderId="41" xfId="6" applyFont="1" applyFill="1" applyBorder="1">
      <alignment vertical="top"/>
    </xf>
    <xf numFmtId="0" fontId="13" fillId="6" borderId="0" xfId="6" applyFill="1" applyAlignment="1">
      <alignment horizontal="left" vertical="top"/>
    </xf>
    <xf numFmtId="165" fontId="11" fillId="10" borderId="41" xfId="5" applyNumberFormat="1" applyFont="1" applyFill="1" applyBorder="1" applyAlignment="1">
      <alignment horizontal="left" vertical="top" wrapText="1"/>
    </xf>
    <xf numFmtId="165" fontId="11" fillId="6" borderId="41" xfId="5" applyNumberFormat="1" applyFont="1" applyFill="1" applyBorder="1" applyAlignment="1">
      <alignment horizontal="left" vertical="top" wrapText="1"/>
    </xf>
    <xf numFmtId="0" fontId="21" fillId="10" borderId="41" xfId="12" applyFont="1" applyFill="1" applyBorder="1" applyAlignment="1">
      <alignment horizontal="left" vertical="top" wrapText="1"/>
    </xf>
    <xf numFmtId="165" fontId="13" fillId="6" borderId="0" xfId="6" applyNumberFormat="1" applyFill="1" applyAlignment="1">
      <alignment horizontal="left" vertical="top"/>
    </xf>
    <xf numFmtId="0" fontId="0" fillId="6" borderId="0" xfId="0" applyFill="1" applyAlignment="1">
      <alignment horizontal="left" vertical="top"/>
    </xf>
    <xf numFmtId="0" fontId="0" fillId="6" borderId="43" xfId="0" applyFill="1" applyBorder="1"/>
    <xf numFmtId="0" fontId="4" fillId="4" borderId="0" xfId="0" applyFont="1" applyFill="1" applyAlignment="1">
      <alignment horizontal="left"/>
    </xf>
    <xf numFmtId="0" fontId="4" fillId="4" borderId="0" xfId="0" applyFont="1" applyFill="1"/>
    <xf numFmtId="9" fontId="0" fillId="4" borderId="0" xfId="0" applyNumberFormat="1" applyFill="1"/>
    <xf numFmtId="9" fontId="0" fillId="4" borderId="0" xfId="0" applyNumberFormat="1" applyFill="1" applyAlignment="1">
      <alignment horizontal="left"/>
    </xf>
    <xf numFmtId="0" fontId="11" fillId="6" borderId="41" xfId="6" quotePrefix="1" applyFont="1" applyFill="1" applyBorder="1">
      <alignment vertical="top"/>
    </xf>
    <xf numFmtId="0" fontId="11" fillId="9" borderId="42" xfId="0" applyFont="1" applyFill="1" applyBorder="1"/>
    <xf numFmtId="0" fontId="11" fillId="9" borderId="0" xfId="0" applyFont="1" applyFill="1"/>
    <xf numFmtId="0" fontId="11" fillId="9" borderId="41" xfId="0" applyFont="1" applyFill="1" applyBorder="1"/>
    <xf numFmtId="0" fontId="11" fillId="9" borderId="16" xfId="0" applyFont="1" applyFill="1" applyBorder="1"/>
    <xf numFmtId="164" fontId="0" fillId="6" borderId="47" xfId="0" applyNumberFormat="1" applyFill="1" applyBorder="1" applyAlignment="1">
      <alignment horizontal="left"/>
    </xf>
    <xf numFmtId="0" fontId="0" fillId="8" borderId="47" xfId="0" applyFill="1" applyBorder="1"/>
    <xf numFmtId="0" fontId="13" fillId="6" borderId="0" xfId="6" applyFill="1" applyAlignment="1">
      <alignment horizontal="center" vertical="center"/>
    </xf>
    <xf numFmtId="0" fontId="11" fillId="6" borderId="41" xfId="6" quotePrefix="1" applyFont="1" applyFill="1" applyBorder="1" applyAlignment="1">
      <alignment horizontal="center" vertical="center"/>
    </xf>
    <xf numFmtId="0" fontId="0" fillId="6" borderId="0" xfId="0" applyFill="1" applyAlignment="1">
      <alignment horizontal="center" vertical="center"/>
    </xf>
    <xf numFmtId="165" fontId="11" fillId="6" borderId="0" xfId="4" applyFont="1" applyFill="1" applyAlignment="1">
      <alignment horizontal="center" vertical="center"/>
    </xf>
    <xf numFmtId="165" fontId="11" fillId="6" borderId="41" xfId="4" applyFont="1" applyFill="1" applyBorder="1" applyAlignment="1">
      <alignment horizontal="center" vertical="center"/>
    </xf>
    <xf numFmtId="0" fontId="11" fillId="10" borderId="41" xfId="6" quotePrefix="1" applyFont="1" applyFill="1" applyBorder="1" applyAlignment="1">
      <alignment horizontal="center" vertical="center"/>
    </xf>
    <xf numFmtId="0" fontId="11" fillId="6" borderId="11" xfId="6" quotePrefix="1" applyFont="1" applyFill="1" applyBorder="1" applyAlignment="1">
      <alignment horizontal="center" vertical="center"/>
    </xf>
    <xf numFmtId="0" fontId="11" fillId="10" borderId="11" xfId="6" applyFont="1" applyFill="1" applyBorder="1" applyAlignment="1">
      <alignment wrapText="1"/>
    </xf>
    <xf numFmtId="0" fontId="11" fillId="6" borderId="0" xfId="6" applyFont="1" applyFill="1" applyAlignment="1">
      <alignment horizontal="left"/>
    </xf>
    <xf numFmtId="0" fontId="26" fillId="2" borderId="11" xfId="6" applyFont="1" applyFill="1" applyBorder="1" applyAlignment="1">
      <alignment horizontal="center" wrapText="1"/>
    </xf>
    <xf numFmtId="0" fontId="11" fillId="13" borderId="11" xfId="6" applyFont="1" applyFill="1" applyBorder="1" applyAlignment="1">
      <alignment wrapText="1"/>
    </xf>
    <xf numFmtId="0" fontId="0" fillId="2" borderId="0" xfId="0" applyFill="1"/>
    <xf numFmtId="0" fontId="0" fillId="14" borderId="0" xfId="0" applyFill="1"/>
    <xf numFmtId="0" fontId="0" fillId="16" borderId="0" xfId="0" applyFill="1"/>
    <xf numFmtId="0" fontId="3" fillId="17" borderId="35" xfId="0" applyFont="1" applyFill="1" applyBorder="1" applyAlignment="1">
      <alignment horizontal="center"/>
    </xf>
    <xf numFmtId="0" fontId="3" fillId="17" borderId="33" xfId="0" applyFont="1" applyFill="1" applyBorder="1" applyAlignment="1">
      <alignment horizontal="center"/>
    </xf>
    <xf numFmtId="0" fontId="3" fillId="17" borderId="34" xfId="0" applyFont="1" applyFill="1" applyBorder="1" applyAlignment="1">
      <alignment horizontal="center"/>
    </xf>
    <xf numFmtId="0" fontId="3" fillId="9" borderId="20" xfId="0" applyFont="1" applyFill="1" applyBorder="1"/>
    <xf numFmtId="0" fontId="3" fillId="9" borderId="22" xfId="0" applyFont="1" applyFill="1" applyBorder="1"/>
    <xf numFmtId="0" fontId="3" fillId="9" borderId="21" xfId="0" applyFont="1" applyFill="1" applyBorder="1"/>
    <xf numFmtId="0" fontId="11" fillId="4" borderId="0" xfId="0" applyFont="1" applyFill="1"/>
    <xf numFmtId="0" fontId="21" fillId="4" borderId="0" xfId="0" applyFont="1" applyFill="1"/>
    <xf numFmtId="0" fontId="11" fillId="4" borderId="3" xfId="0" applyFont="1" applyFill="1" applyBorder="1"/>
    <xf numFmtId="0" fontId="11" fillId="4" borderId="4" xfId="0" applyFont="1" applyFill="1" applyBorder="1"/>
    <xf numFmtId="0" fontId="11" fillId="4" borderId="5" xfId="0" applyFont="1" applyFill="1" applyBorder="1"/>
    <xf numFmtId="0" fontId="11" fillId="2" borderId="3" xfId="0" applyFont="1" applyFill="1" applyBorder="1"/>
    <xf numFmtId="0" fontId="11" fillId="2" borderId="4" xfId="0" applyFont="1" applyFill="1" applyBorder="1"/>
    <xf numFmtId="0" fontId="11" fillId="2" borderId="5" xfId="0" applyFont="1" applyFill="1" applyBorder="1"/>
    <xf numFmtId="0" fontId="11" fillId="4" borderId="6" xfId="0" applyFont="1" applyFill="1" applyBorder="1"/>
    <xf numFmtId="0" fontId="11" fillId="4" borderId="7" xfId="0" applyFont="1" applyFill="1" applyBorder="1"/>
    <xf numFmtId="0" fontId="11" fillId="2" borderId="6" xfId="0" applyFont="1" applyFill="1" applyBorder="1"/>
    <xf numFmtId="0" fontId="11" fillId="2" borderId="7" xfId="0" applyFont="1" applyFill="1" applyBorder="1"/>
    <xf numFmtId="0" fontId="11" fillId="2" borderId="0" xfId="0" applyFont="1" applyFill="1"/>
    <xf numFmtId="0" fontId="11" fillId="4" borderId="8" xfId="0" applyFont="1" applyFill="1" applyBorder="1"/>
    <xf numFmtId="0" fontId="11" fillId="4" borderId="9" xfId="0" applyFont="1" applyFill="1" applyBorder="1"/>
    <xf numFmtId="0" fontId="11" fillId="4" borderId="10" xfId="0" applyFont="1" applyFill="1" applyBorder="1"/>
    <xf numFmtId="0" fontId="11" fillId="2" borderId="8" xfId="0" applyFont="1" applyFill="1" applyBorder="1"/>
    <xf numFmtId="0" fontId="11" fillId="2" borderId="9" xfId="0" applyFont="1" applyFill="1" applyBorder="1"/>
    <xf numFmtId="0" fontId="11" fillId="2" borderId="10" xfId="0" applyFont="1" applyFill="1" applyBorder="1"/>
    <xf numFmtId="0" fontId="27" fillId="4" borderId="0" xfId="0" applyFont="1" applyFill="1"/>
    <xf numFmtId="0" fontId="21" fillId="2" borderId="0" xfId="0" applyFont="1" applyFill="1"/>
    <xf numFmtId="0" fontId="3" fillId="2" borderId="0" xfId="0" applyFont="1" applyFill="1"/>
    <xf numFmtId="0" fontId="28" fillId="2" borderId="0" xfId="0" applyFont="1" applyFill="1"/>
    <xf numFmtId="0" fontId="0" fillId="15" borderId="0" xfId="0" applyFill="1"/>
    <xf numFmtId="0" fontId="0" fillId="3" borderId="31" xfId="0" applyFill="1" applyBorder="1" applyAlignment="1" applyProtection="1">
      <alignment horizontal="left"/>
      <protection locked="0"/>
    </xf>
    <xf numFmtId="0" fontId="0" fillId="3" borderId="31" xfId="0" applyFill="1" applyBorder="1" applyProtection="1">
      <protection locked="0"/>
    </xf>
    <xf numFmtId="0" fontId="0" fillId="3" borderId="32" xfId="0" applyFill="1" applyBorder="1" applyProtection="1">
      <protection locked="0"/>
    </xf>
    <xf numFmtId="0" fontId="0" fillId="3" borderId="24" xfId="0" applyFill="1" applyBorder="1" applyAlignment="1" applyProtection="1">
      <alignment horizontal="left"/>
      <protection locked="0"/>
    </xf>
    <xf numFmtId="0" fontId="0" fillId="3" borderId="24" xfId="0" applyFill="1" applyBorder="1" applyProtection="1">
      <protection locked="0"/>
    </xf>
    <xf numFmtId="0" fontId="0" fillId="3" borderId="26" xfId="0" applyFill="1" applyBorder="1" applyProtection="1">
      <protection locked="0"/>
    </xf>
    <xf numFmtId="0" fontId="0" fillId="3" borderId="49" xfId="0" applyFill="1" applyBorder="1" applyProtection="1">
      <protection locked="0"/>
    </xf>
    <xf numFmtId="0" fontId="0" fillId="3" borderId="28" xfId="0" applyFill="1" applyBorder="1" applyAlignment="1" applyProtection="1">
      <alignment horizontal="left"/>
      <protection locked="0"/>
    </xf>
    <xf numFmtId="0" fontId="0" fillId="3" borderId="28" xfId="0" applyFill="1" applyBorder="1" applyProtection="1">
      <protection locked="0"/>
    </xf>
    <xf numFmtId="0" fontId="0" fillId="3" borderId="29" xfId="0" applyFill="1" applyBorder="1" applyProtection="1">
      <protection locked="0"/>
    </xf>
    <xf numFmtId="0" fontId="0" fillId="3" borderId="47" xfId="0" applyFill="1" applyBorder="1" applyProtection="1">
      <protection locked="0"/>
    </xf>
    <xf numFmtId="0" fontId="0" fillId="3" borderId="48" xfId="0" applyFill="1" applyBorder="1" applyProtection="1">
      <protection locked="0"/>
    </xf>
    <xf numFmtId="0" fontId="0" fillId="3" borderId="50" xfId="0" applyFill="1" applyBorder="1" applyProtection="1">
      <protection locked="0"/>
    </xf>
    <xf numFmtId="44" fontId="0" fillId="3" borderId="31" xfId="1" applyFont="1" applyFill="1" applyBorder="1" applyProtection="1">
      <protection locked="0"/>
    </xf>
    <xf numFmtId="44" fontId="0" fillId="3" borderId="24" xfId="1" applyFont="1" applyFill="1" applyBorder="1" applyProtection="1">
      <protection locked="0"/>
    </xf>
    <xf numFmtId="0" fontId="0" fillId="6" borderId="2" xfId="0" applyFill="1" applyBorder="1"/>
    <xf numFmtId="14" fontId="0" fillId="3" borderId="2" xfId="0" applyNumberFormat="1" applyFill="1" applyBorder="1" applyProtection="1">
      <protection locked="0"/>
    </xf>
    <xf numFmtId="0" fontId="0" fillId="16" borderId="9" xfId="0" applyFill="1" applyBorder="1" applyAlignment="1">
      <alignment horizontal="left" wrapText="1"/>
    </xf>
    <xf numFmtId="0" fontId="5" fillId="4" borderId="0" xfId="0" applyFont="1" applyFill="1" applyAlignment="1">
      <alignment horizontal="center"/>
    </xf>
    <xf numFmtId="0" fontId="0" fillId="4" borderId="0" xfId="0" applyFill="1" applyAlignment="1">
      <alignment horizontal="center" vertical="top"/>
    </xf>
    <xf numFmtId="0" fontId="3" fillId="7" borderId="33" xfId="0" applyFont="1" applyFill="1" applyBorder="1" applyAlignment="1">
      <alignment horizontal="center"/>
    </xf>
    <xf numFmtId="0" fontId="0" fillId="3" borderId="31" xfId="0" applyFill="1" applyBorder="1" applyAlignment="1" applyProtection="1">
      <alignment horizontal="center"/>
      <protection locked="0"/>
    </xf>
    <xf numFmtId="0" fontId="0" fillId="3" borderId="24" xfId="0" applyFill="1" applyBorder="1" applyAlignment="1" applyProtection="1">
      <alignment horizontal="center"/>
      <protection locked="0"/>
    </xf>
    <xf numFmtId="0" fontId="0" fillId="3" borderId="28" xfId="0" applyFill="1" applyBorder="1" applyAlignment="1" applyProtection="1">
      <alignment horizontal="center"/>
      <protection locked="0"/>
    </xf>
    <xf numFmtId="0" fontId="0" fillId="0" borderId="0" xfId="0" applyAlignment="1">
      <alignment horizontal="center"/>
    </xf>
    <xf numFmtId="0" fontId="0" fillId="0" borderId="25" xfId="0" applyBorder="1"/>
    <xf numFmtId="0" fontId="0" fillId="0" borderId="27"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30" xfId="0" applyBorder="1"/>
    <xf numFmtId="0" fontId="0" fillId="0" borderId="60" xfId="0" applyBorder="1"/>
    <xf numFmtId="0" fontId="0" fillId="0" borderId="61" xfId="0" applyBorder="1"/>
    <xf numFmtId="0" fontId="0" fillId="2" borderId="27" xfId="0" applyFill="1" applyBorder="1"/>
    <xf numFmtId="0" fontId="0" fillId="2" borderId="28" xfId="0" applyFill="1" applyBorder="1"/>
    <xf numFmtId="0" fontId="0" fillId="2" borderId="29" xfId="0" applyFill="1" applyBorder="1"/>
    <xf numFmtId="0" fontId="0" fillId="0" borderId="46" xfId="0" applyBorder="1"/>
    <xf numFmtId="0" fontId="0" fillId="0" borderId="52" xfId="0" applyBorder="1"/>
    <xf numFmtId="0" fontId="0" fillId="0" borderId="62" xfId="0" applyBorder="1"/>
    <xf numFmtId="0" fontId="29" fillId="4" borderId="0" xfId="0" applyFont="1" applyFill="1"/>
    <xf numFmtId="0" fontId="0" fillId="4" borderId="0" xfId="0" applyFill="1" applyBorder="1"/>
    <xf numFmtId="0" fontId="0" fillId="2" borderId="66" xfId="0" applyFill="1" applyBorder="1"/>
    <xf numFmtId="14" fontId="0" fillId="3" borderId="30" xfId="0" applyNumberFormat="1" applyFill="1" applyBorder="1" applyProtection="1">
      <protection locked="0"/>
    </xf>
    <xf numFmtId="44" fontId="0" fillId="3" borderId="31" xfId="0" applyNumberFormat="1" applyFill="1" applyBorder="1" applyProtection="1">
      <protection locked="0"/>
    </xf>
    <xf numFmtId="44" fontId="0" fillId="3" borderId="24" xfId="0" applyNumberFormat="1" applyFill="1" applyBorder="1" applyProtection="1">
      <protection locked="0"/>
    </xf>
    <xf numFmtId="0" fontId="0" fillId="0" borderId="31" xfId="0" applyFill="1" applyBorder="1" applyProtection="1">
      <protection locked="0"/>
    </xf>
    <xf numFmtId="44" fontId="0" fillId="0" borderId="24" xfId="0" applyNumberFormat="1" applyFill="1" applyBorder="1" applyProtection="1">
      <protection locked="0"/>
    </xf>
    <xf numFmtId="14" fontId="0" fillId="3" borderId="51" xfId="0" applyNumberFormat="1" applyFill="1" applyBorder="1" applyProtection="1">
      <protection locked="0"/>
    </xf>
    <xf numFmtId="0" fontId="0" fillId="3" borderId="43" xfId="0" applyFill="1" applyBorder="1" applyProtection="1">
      <protection locked="0"/>
    </xf>
    <xf numFmtId="44" fontId="0" fillId="3" borderId="28" xfId="0" applyNumberFormat="1" applyFill="1" applyBorder="1" applyProtection="1">
      <protection locked="0"/>
    </xf>
    <xf numFmtId="0" fontId="0" fillId="2" borderId="67" xfId="0" applyFill="1" applyBorder="1"/>
    <xf numFmtId="0" fontId="0" fillId="2" borderId="44" xfId="0" applyFill="1" applyBorder="1"/>
    <xf numFmtId="0" fontId="0" fillId="0" borderId="44" xfId="0" applyBorder="1"/>
    <xf numFmtId="0" fontId="5" fillId="4" borderId="0" xfId="0" applyFont="1" applyFill="1" applyAlignment="1">
      <alignment horizontal="left"/>
    </xf>
    <xf numFmtId="0" fontId="0" fillId="4" borderId="0" xfId="0" applyFill="1" applyAlignment="1">
      <alignment horizontal="left" vertical="top"/>
    </xf>
    <xf numFmtId="0" fontId="11" fillId="10" borderId="18" xfId="5" applyFont="1" applyFill="1" applyBorder="1" applyAlignment="1">
      <alignment vertical="top"/>
    </xf>
    <xf numFmtId="0" fontId="20" fillId="6" borderId="0" xfId="7" applyFont="1" applyFill="1" applyBorder="1" applyAlignment="1"/>
    <xf numFmtId="0" fontId="0" fillId="4" borderId="0" xfId="0" applyFill="1" applyAlignment="1">
      <alignment horizontal="left"/>
    </xf>
    <xf numFmtId="0" fontId="0" fillId="4" borderId="0" xfId="0" applyFill="1" applyAlignment="1">
      <alignment horizontal="center"/>
    </xf>
    <xf numFmtId="0" fontId="3" fillId="7" borderId="52" xfId="0" applyFont="1" applyFill="1" applyBorder="1" applyAlignment="1">
      <alignment horizontal="center"/>
    </xf>
    <xf numFmtId="0" fontId="3" fillId="7" borderId="53" xfId="0" applyFont="1" applyFill="1" applyBorder="1" applyAlignment="1">
      <alignment horizontal="center"/>
    </xf>
    <xf numFmtId="0" fontId="3" fillId="7" borderId="54" xfId="0" applyFont="1" applyFill="1" applyBorder="1" applyAlignment="1">
      <alignment horizontal="center"/>
    </xf>
    <xf numFmtId="0" fontId="6" fillId="6" borderId="0" xfId="0" applyFont="1" applyFill="1" applyAlignment="1">
      <alignment horizontal="center"/>
    </xf>
    <xf numFmtId="0" fontId="0" fillId="6" borderId="0" xfId="0" applyFill="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5" fillId="4" borderId="0" xfId="0" applyFont="1" applyFill="1" applyAlignment="1">
      <alignment horizontal="left"/>
    </xf>
    <xf numFmtId="0" fontId="0" fillId="4" borderId="0" xfId="0" applyFill="1" applyAlignment="1">
      <alignment horizontal="left" vertical="top"/>
    </xf>
    <xf numFmtId="0" fontId="0" fillId="11" borderId="20" xfId="0" applyFill="1" applyBorder="1" applyAlignment="1">
      <alignment horizontal="left" vertical="center"/>
    </xf>
    <xf numFmtId="0" fontId="0" fillId="11" borderId="22" xfId="0" applyFill="1" applyBorder="1" applyAlignment="1">
      <alignment horizontal="left" vertical="center"/>
    </xf>
    <xf numFmtId="0" fontId="0" fillId="11" borderId="21" xfId="0" applyFill="1" applyBorder="1" applyAlignment="1">
      <alignment horizontal="left" vertical="center"/>
    </xf>
    <xf numFmtId="0" fontId="3" fillId="7" borderId="20" xfId="0" applyFont="1" applyFill="1" applyBorder="1" applyAlignment="1">
      <alignment horizontal="left"/>
    </xf>
    <xf numFmtId="0" fontId="3" fillId="7" borderId="23" xfId="0" applyFont="1" applyFill="1" applyBorder="1" applyAlignment="1">
      <alignment horizontal="left"/>
    </xf>
    <xf numFmtId="165" fontId="11" fillId="10" borderId="12" xfId="4" applyFont="1" applyFill="1" applyBorder="1" applyAlignment="1">
      <alignment horizontal="center"/>
    </xf>
    <xf numFmtId="165" fontId="11" fillId="10" borderId="13" xfId="4" applyFont="1" applyFill="1" applyBorder="1" applyAlignment="1">
      <alignment horizontal="center"/>
    </xf>
    <xf numFmtId="165" fontId="11" fillId="10" borderId="14" xfId="4" applyFont="1" applyFill="1" applyBorder="1" applyAlignment="1">
      <alignment horizontal="center"/>
    </xf>
    <xf numFmtId="165" fontId="11" fillId="10" borderId="15" xfId="4" applyFont="1" applyFill="1" applyBorder="1" applyAlignment="1">
      <alignment horizontal="center"/>
    </xf>
    <xf numFmtId="165" fontId="11" fillId="10" borderId="0" xfId="4" applyFont="1" applyFill="1" applyAlignment="1">
      <alignment horizontal="center"/>
    </xf>
    <xf numFmtId="165" fontId="11" fillId="10" borderId="16" xfId="4" applyFont="1" applyFill="1" applyBorder="1" applyAlignment="1">
      <alignment horizontal="center"/>
    </xf>
    <xf numFmtId="165" fontId="11" fillId="10" borderId="17" xfId="4" applyFont="1" applyFill="1" applyBorder="1" applyAlignment="1">
      <alignment horizontal="center"/>
    </xf>
    <xf numFmtId="165" fontId="11" fillId="10" borderId="18" xfId="4" applyFont="1" applyFill="1" applyBorder="1" applyAlignment="1">
      <alignment horizontal="center"/>
    </xf>
    <xf numFmtId="165" fontId="11" fillId="10" borderId="19" xfId="4" applyFont="1" applyFill="1" applyBorder="1" applyAlignment="1">
      <alignment horizontal="center"/>
    </xf>
    <xf numFmtId="0" fontId="20" fillId="6" borderId="39" xfId="5" applyFont="1" applyFill="1" applyBorder="1" applyAlignment="1">
      <alignment horizontal="left"/>
    </xf>
    <xf numFmtId="0" fontId="11" fillId="10" borderId="13" xfId="5" applyFont="1" applyFill="1" applyBorder="1" applyAlignment="1">
      <alignment vertical="top"/>
    </xf>
    <xf numFmtId="0" fontId="11" fillId="10" borderId="14" xfId="5" applyFont="1" applyFill="1" applyBorder="1" applyAlignment="1">
      <alignment vertical="top"/>
    </xf>
    <xf numFmtId="0" fontId="11" fillId="10" borderId="0" xfId="5" applyFont="1" applyFill="1" applyBorder="1" applyAlignment="1">
      <alignment vertical="top"/>
    </xf>
    <xf numFmtId="0" fontId="11" fillId="10" borderId="16" xfId="5" applyFont="1" applyFill="1" applyBorder="1" applyAlignment="1">
      <alignment vertical="top"/>
    </xf>
    <xf numFmtId="0" fontId="11" fillId="10" borderId="18" xfId="5" applyFont="1" applyFill="1" applyBorder="1" applyAlignment="1">
      <alignment vertical="top"/>
    </xf>
    <xf numFmtId="0" fontId="11" fillId="10" borderId="19" xfId="5" applyFont="1" applyFill="1" applyBorder="1" applyAlignment="1">
      <alignment vertical="top"/>
    </xf>
    <xf numFmtId="0" fontId="20" fillId="6" borderId="0" xfId="7" applyFont="1" applyFill="1" applyBorder="1" applyAlignment="1"/>
    <xf numFmtId="0" fontId="0" fillId="10" borderId="0" xfId="0" applyFill="1" applyAlignment="1">
      <alignment horizontal="left"/>
    </xf>
    <xf numFmtId="0" fontId="5" fillId="10" borderId="0" xfId="0" applyFont="1" applyFill="1" applyAlignment="1">
      <alignment horizontal="left"/>
    </xf>
    <xf numFmtId="0" fontId="0" fillId="11" borderId="45" xfId="0" applyFill="1" applyBorder="1" applyAlignment="1">
      <alignment horizontal="center"/>
    </xf>
    <xf numFmtId="0" fontId="0" fillId="11" borderId="46" xfId="0" applyFill="1" applyBorder="1" applyAlignment="1">
      <alignment horizontal="center"/>
    </xf>
    <xf numFmtId="0" fontId="0" fillId="8" borderId="44" xfId="0" applyFill="1" applyBorder="1" applyAlignment="1">
      <alignment horizontal="center"/>
    </xf>
    <xf numFmtId="0" fontId="0" fillId="8" borderId="45" xfId="0" applyFill="1" applyBorder="1" applyAlignment="1">
      <alignment horizontal="center"/>
    </xf>
    <xf numFmtId="0" fontId="0" fillId="10" borderId="44" xfId="0" applyFill="1" applyBorder="1" applyAlignment="1">
      <alignment horizontal="center"/>
    </xf>
    <xf numFmtId="0" fontId="0" fillId="10" borderId="45" xfId="0" applyFill="1" applyBorder="1" applyAlignment="1">
      <alignment horizontal="center"/>
    </xf>
    <xf numFmtId="0" fontId="0" fillId="10" borderId="46" xfId="0" applyFill="1" applyBorder="1" applyAlignment="1">
      <alignment horizontal="center"/>
    </xf>
    <xf numFmtId="0" fontId="0" fillId="4" borderId="0" xfId="0" applyFill="1" applyAlignment="1">
      <alignment horizontal="left"/>
    </xf>
    <xf numFmtId="0" fontId="0" fillId="4" borderId="0" xfId="0" applyFill="1" applyAlignment="1">
      <alignment horizontal="center"/>
    </xf>
    <xf numFmtId="0" fontId="5" fillId="16" borderId="0" xfId="0" applyFont="1" applyFill="1" applyAlignment="1">
      <alignment horizontal="left"/>
    </xf>
    <xf numFmtId="0" fontId="0" fillId="16" borderId="9" xfId="0" applyFill="1" applyBorder="1" applyAlignment="1">
      <alignment horizontal="center"/>
    </xf>
    <xf numFmtId="44" fontId="0" fillId="3" borderId="20" xfId="0" applyNumberFormat="1" applyFill="1" applyBorder="1" applyAlignment="1">
      <alignment horizontal="center"/>
    </xf>
    <xf numFmtId="44" fontId="0" fillId="3" borderId="21" xfId="0" applyNumberFormat="1" applyFill="1" applyBorder="1" applyAlignment="1">
      <alignment horizontal="center"/>
    </xf>
    <xf numFmtId="0" fontId="0" fillId="16" borderId="0" xfId="0" applyFill="1" applyAlignment="1">
      <alignment wrapText="1"/>
    </xf>
    <xf numFmtId="44" fontId="0" fillId="3" borderId="20" xfId="1" applyFont="1" applyFill="1" applyBorder="1" applyAlignment="1">
      <alignment horizontal="center"/>
    </xf>
    <xf numFmtId="44" fontId="0" fillId="3" borderId="21" xfId="1" applyFont="1" applyFill="1" applyBorder="1" applyAlignment="1">
      <alignment horizontal="center"/>
    </xf>
    <xf numFmtId="44" fontId="3" fillId="4" borderId="4" xfId="1" applyFont="1"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44" fontId="3" fillId="4" borderId="0" xfId="1" applyFont="1" applyFill="1" applyBorder="1" applyAlignment="1">
      <alignment horizontal="center"/>
    </xf>
    <xf numFmtId="44" fontId="11" fillId="11" borderId="20" xfId="0" applyNumberFormat="1" applyFont="1" applyFill="1" applyBorder="1" applyAlignment="1">
      <alignment horizontal="center"/>
    </xf>
    <xf numFmtId="0" fontId="11" fillId="11" borderId="21" xfId="0" applyFont="1" applyFill="1" applyBorder="1" applyAlignment="1">
      <alignment horizontal="center"/>
    </xf>
    <xf numFmtId="44" fontId="11" fillId="3" borderId="20" xfId="1" applyFont="1" applyFill="1" applyBorder="1" applyAlignment="1" applyProtection="1">
      <alignment horizontal="center"/>
      <protection locked="0"/>
    </xf>
    <xf numFmtId="44" fontId="11" fillId="3" borderId="21" xfId="1" applyFont="1" applyFill="1" applyBorder="1" applyAlignment="1" applyProtection="1">
      <alignment horizontal="center"/>
      <protection locked="0"/>
    </xf>
    <xf numFmtId="44" fontId="11" fillId="5" borderId="20" xfId="1" applyFont="1" applyFill="1" applyBorder="1" applyAlignment="1">
      <alignment horizontal="center"/>
    </xf>
    <xf numFmtId="44" fontId="11" fillId="5" borderId="21" xfId="1" applyFont="1" applyFill="1" applyBorder="1" applyAlignment="1">
      <alignment horizontal="center"/>
    </xf>
    <xf numFmtId="0" fontId="11" fillId="3" borderId="3" xfId="0" applyFont="1" applyFill="1" applyBorder="1" applyAlignment="1" applyProtection="1">
      <alignment horizontal="center"/>
      <protection locked="0"/>
    </xf>
    <xf numFmtId="0" fontId="11" fillId="3" borderId="5" xfId="0" applyFont="1" applyFill="1" applyBorder="1" applyAlignment="1" applyProtection="1">
      <alignment horizontal="center"/>
      <protection locked="0"/>
    </xf>
    <xf numFmtId="0" fontId="18" fillId="4" borderId="0" xfId="0" applyFont="1" applyFill="1" applyAlignment="1">
      <alignment horizontal="left"/>
    </xf>
    <xf numFmtId="0" fontId="18" fillId="2" borderId="0" xfId="0" applyFont="1" applyFill="1" applyAlignment="1">
      <alignment horizontal="left"/>
    </xf>
    <xf numFmtId="44" fontId="11" fillId="3" borderId="20" xfId="1" applyFont="1" applyFill="1" applyBorder="1" applyAlignment="1">
      <alignment horizontal="center"/>
    </xf>
    <xf numFmtId="44" fontId="11" fillId="3" borderId="21" xfId="1" applyFont="1" applyFill="1" applyBorder="1" applyAlignment="1">
      <alignment horizontal="center"/>
    </xf>
    <xf numFmtId="44" fontId="11" fillId="3" borderId="3" xfId="1" applyFont="1" applyFill="1" applyBorder="1" applyAlignment="1" applyProtection="1">
      <alignment horizontal="center"/>
      <protection locked="0"/>
    </xf>
    <xf numFmtId="44" fontId="11" fillId="3" borderId="5" xfId="1" applyFont="1" applyFill="1" applyBorder="1" applyAlignment="1" applyProtection="1">
      <alignment horizontal="center"/>
      <protection locked="0"/>
    </xf>
    <xf numFmtId="0" fontId="3" fillId="7" borderId="63" xfId="0" applyFont="1" applyFill="1" applyBorder="1" applyAlignment="1">
      <alignment horizontal="center"/>
    </xf>
    <xf numFmtId="0" fontId="3" fillId="7" borderId="64" xfId="0" applyFont="1" applyFill="1" applyBorder="1" applyAlignment="1">
      <alignment horizontal="center"/>
    </xf>
    <xf numFmtId="0" fontId="3" fillId="7" borderId="65"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52" xfId="0" applyFont="1" applyFill="1" applyBorder="1" applyAlignment="1">
      <alignment horizontal="center"/>
    </xf>
    <xf numFmtId="0" fontId="3" fillId="7" borderId="53" xfId="0" applyFont="1" applyFill="1" applyBorder="1" applyAlignment="1">
      <alignment horizontal="center"/>
    </xf>
    <xf numFmtId="0" fontId="3" fillId="7" borderId="54" xfId="0" applyFont="1" applyFill="1" applyBorder="1" applyAlignment="1">
      <alignment horizontal="center"/>
    </xf>
  </cellXfs>
  <cellStyles count="13">
    <cellStyle name="Banded" xfId="5" xr:uid="{38ECB362-5511-4593-A2F4-C30DB9BB71B8}"/>
    <cellStyle name="Currency" xfId="1" builtinId="4"/>
    <cellStyle name="Day" xfId="4" xr:uid="{1CFAF546-17AB-4A53-9360-DEEB9B13C66C}"/>
    <cellStyle name="Heading 1" xfId="3" builtinId="16"/>
    <cellStyle name="Heading 1 2" xfId="8" xr:uid="{395B28A9-13DE-49C8-BC67-5681BD14E315}"/>
    <cellStyle name="Heading 2 2" xfId="9" xr:uid="{6D40FE93-299B-4342-823E-E052ACD6EC02}"/>
    <cellStyle name="Heading 3 2" xfId="10" xr:uid="{3402C578-0057-4B6C-A46D-C153965652C3}"/>
    <cellStyle name="Heading 4 2" xfId="12" xr:uid="{C8414FFD-821A-4CE4-A83C-05DFD73476DF}"/>
    <cellStyle name="Normal" xfId="0" builtinId="0"/>
    <cellStyle name="Normal 2" xfId="6" xr:uid="{3457F65F-A86B-4473-89D2-8F2D9BDBB655}"/>
    <cellStyle name="Percent" xfId="2" builtinId="5"/>
    <cellStyle name="Settings Entry" xfId="11" xr:uid="{22B14A1D-2BFD-4A4D-9745-9B2E39158C41}"/>
    <cellStyle name="Title 2" xfId="7" xr:uid="{DF291947-DA08-4290-81EC-92BE90DC98C5}"/>
  </cellStyles>
  <dxfs count="24">
    <dxf>
      <font>
        <color theme="0" tint="-0.24994659260841701"/>
      </font>
    </dxf>
    <dxf>
      <font>
        <color theme="0" tint="-0.24994659260841701"/>
      </font>
    </dxf>
    <dxf>
      <font>
        <color theme="0" tint="-0.24994659260841701"/>
      </font>
    </dxf>
    <dxf>
      <font>
        <color theme="0" tint="-0.24994659260841701"/>
      </font>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0"/>
        </patternFill>
      </fill>
      <border diagonalUp="0" diagonalDown="0">
        <left style="thin">
          <color theme="6" tint="-0.499984740745262"/>
        </left>
        <right style="thin">
          <color theme="6" tint="-0.499984740745262"/>
        </right>
        <top style="thin">
          <color theme="6" tint="-0.499984740745262"/>
        </top>
        <bottom style="thin">
          <color theme="6" tint="-0.499984740745262"/>
        </bottom>
      </border>
      <protection locked="0" hidden="0"/>
    </dxf>
    <dxf>
      <fill>
        <patternFill patternType="solid">
          <fgColor indexed="64"/>
          <bgColor theme="5" tint="0.59999389629810485"/>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fill>
        <patternFill patternType="solid">
          <fgColor indexed="64"/>
          <bgColor theme="5" tint="0.79998168889431442"/>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fill>
        <patternFill patternType="solid">
          <fgColor indexed="64"/>
          <bgColor theme="5" tint="0.59999389629810485"/>
        </patternFill>
      </fill>
      <border diagonalUp="0" diagonalDown="0" outline="0">
        <left style="thin">
          <color theme="6" tint="-0.499984740745262"/>
        </left>
        <right style="thin">
          <color theme="6" tint="-0.499984740745262"/>
        </right>
        <top style="thin">
          <color theme="6" tint="-0.499984740745262"/>
        </top>
        <bottom style="thin">
          <color theme="6" tint="-0.499984740745262"/>
        </bottom>
      </border>
    </dxf>
    <dxf>
      <numFmt numFmtId="164" formatCode="[$-F800]dddd\,\ mmmm\ dd\,\ yyyy"/>
      <fill>
        <patternFill patternType="solid">
          <fgColor indexed="64"/>
          <bgColor theme="5" tint="0.79998168889431442"/>
        </patternFill>
      </fill>
      <alignment horizontal="left" vertical="bottom" textRotation="0" wrapText="0" indent="0" justifyLastLine="0" shrinkToFit="0" readingOrder="0"/>
      <border diagonalUp="0" diagonalDown="0" outline="0">
        <left style="thin">
          <color theme="6" tint="-0.499984740745262"/>
        </left>
        <right style="thin">
          <color theme="6" tint="-0.499984740745262"/>
        </right>
        <top style="thin">
          <color theme="6" tint="-0.499984740745262"/>
        </top>
        <bottom style="thin">
          <color theme="6" tint="-0.499984740745262"/>
        </bottom>
      </border>
    </dxf>
    <dxf>
      <border outline="0">
        <bottom style="medium">
          <color theme="6" tint="-0.499984740745262"/>
        </bottom>
      </border>
    </dxf>
    <dxf>
      <border outline="0">
        <left style="medium">
          <color theme="6" tint="-0.499984740745262"/>
        </left>
        <right style="medium">
          <color theme="6" tint="-0.499984740745262"/>
        </right>
        <top style="medium">
          <color theme="6" tint="-0.499984740745262"/>
        </top>
      </border>
    </dxf>
    <dxf>
      <font>
        <strike val="0"/>
        <outline val="0"/>
        <shadow val="0"/>
        <u val="none"/>
        <vertAlign val="baseline"/>
        <sz val="11"/>
        <color auto="1"/>
        <name val="Calibri"/>
        <family val="2"/>
        <scheme val="minor"/>
      </font>
      <fill>
        <patternFill patternType="solid">
          <fgColor indexed="64"/>
          <bgColor theme="6" tint="-9.9978637043366805E-2"/>
        </patternFill>
      </fill>
      <border diagonalUp="0" diagonalDown="0" outline="0">
        <left style="medium">
          <color theme="6" tint="-0.499984740745262"/>
        </left>
        <right style="medium">
          <color theme="6" tint="-0.499984740745262"/>
        </right>
        <top/>
        <bottom/>
      </border>
    </dxf>
    <dxf>
      <font>
        <color theme="7" tint="-0.24994659260841701"/>
      </font>
      <fill>
        <patternFill>
          <bgColor theme="4" tint="0.59996337778862885"/>
        </patternFill>
      </fill>
      <border>
        <left style="thin">
          <color theme="6" tint="-0.499984740745262"/>
        </left>
        <right style="thin">
          <color theme="6" tint="-0.499984740745262"/>
        </right>
        <top style="thin">
          <color theme="6" tint="-0.499984740745262"/>
        </top>
        <bottom style="thin">
          <color theme="6" tint="-0.499984740745262"/>
        </bottom>
        <vertical/>
        <horizontal/>
      </border>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2" defaultPivotStyle="PivotStyleLight16"/>
  <colors>
    <mruColors>
      <color rgb="FF99CCFF"/>
      <color rgb="FFFF9999"/>
      <color rgb="FFF0A2A2"/>
      <color rgb="FFFF7C80"/>
      <color rgb="FFFF9966"/>
      <color rgb="FFFF99FF"/>
      <color rgb="FFA9CF92"/>
      <color rgb="FFFCF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tx>
            <c:v>Costs</c:v>
          </c:tx>
          <c:spPr>
            <a:solidFill>
              <a:schemeClr val="accent6"/>
            </a:solidFill>
            <a:ln w="57150">
              <a:noFill/>
            </a:ln>
            <a:effectLst>
              <a:outerShdw blurRad="50800" dist="76200" dir="5400000" algn="ctr" rotWithShape="0">
                <a:srgbClr val="000000">
                  <a:alpha val="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Accomodations!$D$7:$D$18</c:f>
              <c:strCache>
                <c:ptCount val="12"/>
                <c:pt idx="0">
                  <c:v>Zurich, Switzerland</c:v>
                </c:pt>
                <c:pt idx="1">
                  <c:v>Lucerne, Switzerland</c:v>
                </c:pt>
                <c:pt idx="2">
                  <c:v>Salzburg, Austria</c:v>
                </c:pt>
                <c:pt idx="3">
                  <c:v>Interlaken, Switzerland</c:v>
                </c:pt>
                <c:pt idx="4">
                  <c:v>Halstatt, Austria</c:v>
                </c:pt>
                <c:pt idx="5">
                  <c:v>Munich, Germany</c:v>
                </c:pt>
                <c:pt idx="6">
                  <c:v>Berlin, Germany</c:v>
                </c:pt>
                <c:pt idx="7">
                  <c:v>Amsterdam, Netherlands</c:v>
                </c:pt>
                <c:pt idx="8">
                  <c:v>Copenhagen, Denmark</c:v>
                </c:pt>
                <c:pt idx="9">
                  <c:v>Dublin, Ireland</c:v>
                </c:pt>
                <c:pt idx="10">
                  <c:v>Edinburgh, Scotland</c:v>
                </c:pt>
                <c:pt idx="11">
                  <c:v>London, England</c:v>
                </c:pt>
              </c:strCache>
            </c:strRef>
          </c:cat>
          <c:val>
            <c:numRef>
              <c:f>Accomodations!$I$7:$I$18</c:f>
              <c:numCache>
                <c:formatCode>_("$"* #,##0.00_);_("$"* \(#,##0.00\);_("$"* "-"??_);_(@_)</c:formatCode>
                <c:ptCount val="12"/>
                <c:pt idx="0">
                  <c:v>220</c:v>
                </c:pt>
                <c:pt idx="1">
                  <c:v>185</c:v>
                </c:pt>
                <c:pt idx="2">
                  <c:v>359</c:v>
                </c:pt>
                <c:pt idx="3">
                  <c:v>139</c:v>
                </c:pt>
                <c:pt idx="4">
                  <c:v>91</c:v>
                </c:pt>
                <c:pt idx="5">
                  <c:v>124</c:v>
                </c:pt>
                <c:pt idx="6">
                  <c:v>256</c:v>
                </c:pt>
                <c:pt idx="7">
                  <c:v>138</c:v>
                </c:pt>
                <c:pt idx="8">
                  <c:v>175</c:v>
                </c:pt>
                <c:pt idx="9">
                  <c:v>182</c:v>
                </c:pt>
                <c:pt idx="10">
                  <c:v>125</c:v>
                </c:pt>
                <c:pt idx="11">
                  <c:v>234</c:v>
                </c:pt>
              </c:numCache>
            </c:numRef>
          </c:val>
          <c:extLst>
            <c:ext xmlns:c16="http://schemas.microsoft.com/office/drawing/2014/chart" uri="{C3380CC4-5D6E-409C-BE32-E72D297353CC}">
              <c16:uniqueId val="{00000000-1ABC-4476-84B4-14EF65B2BC31}"/>
            </c:ext>
          </c:extLst>
        </c:ser>
        <c:dLbls>
          <c:showLegendKey val="0"/>
          <c:showVal val="0"/>
          <c:showCatName val="0"/>
          <c:showSerName val="0"/>
          <c:showPercent val="0"/>
          <c:showBubbleSize val="0"/>
        </c:dLbls>
        <c:gapWidth val="65"/>
        <c:axId val="1394170352"/>
        <c:axId val="1394172016"/>
        <c:extLst>
          <c:ext xmlns:c15="http://schemas.microsoft.com/office/drawing/2012/chart" uri="{02D57815-91ED-43cb-92C2-25804820EDAC}">
            <c15:filteredBarSeries>
              <c15:ser>
                <c:idx val="1"/>
                <c:order val="1"/>
                <c:tx>
                  <c:v>Days</c:v>
                </c:tx>
                <c:spPr>
                  <a:solidFill>
                    <a:schemeClr val="accent5"/>
                  </a:solidFill>
                  <a:ln>
                    <a:noFill/>
                  </a:ln>
                  <a:effectLst/>
                </c:spPr>
                <c:invertIfNegative val="0"/>
                <c:val>
                  <c:numRef>
                    <c:extLst>
                      <c:ext uri="{02D57815-91ED-43cb-92C2-25804820EDAC}">
                        <c15:formulaRef>
                          <c15:sqref>Accomodations!$E$7:$E$18</c15:sqref>
                        </c15:formulaRef>
                      </c:ext>
                    </c:extLst>
                    <c:numCache>
                      <c:formatCode>General</c:formatCode>
                      <c:ptCount val="12"/>
                      <c:pt idx="0">
                        <c:v>3</c:v>
                      </c:pt>
                      <c:pt idx="1">
                        <c:v>3</c:v>
                      </c:pt>
                      <c:pt idx="2">
                        <c:v>4</c:v>
                      </c:pt>
                      <c:pt idx="3">
                        <c:v>7</c:v>
                      </c:pt>
                      <c:pt idx="4">
                        <c:v>1</c:v>
                      </c:pt>
                      <c:pt idx="5">
                        <c:v>3</c:v>
                      </c:pt>
                      <c:pt idx="6">
                        <c:v>5</c:v>
                      </c:pt>
                      <c:pt idx="7">
                        <c:v>5</c:v>
                      </c:pt>
                      <c:pt idx="8">
                        <c:v>4</c:v>
                      </c:pt>
                      <c:pt idx="9">
                        <c:v>6</c:v>
                      </c:pt>
                      <c:pt idx="10">
                        <c:v>5</c:v>
                      </c:pt>
                      <c:pt idx="11">
                        <c:v>7</c:v>
                      </c:pt>
                    </c:numCache>
                  </c:numRef>
                </c:val>
                <c:extLst>
                  <c:ext xmlns:c16="http://schemas.microsoft.com/office/drawing/2014/chart" uri="{C3380CC4-5D6E-409C-BE32-E72D297353CC}">
                    <c16:uniqueId val="{00000001-1ABC-4476-84B4-14EF65B2BC31}"/>
                  </c:ext>
                </c:extLst>
              </c15:ser>
            </c15:filteredBarSeries>
          </c:ext>
        </c:extLst>
      </c:barChart>
      <c:catAx>
        <c:axId val="139417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4172016"/>
        <c:crosses val="autoZero"/>
        <c:auto val="1"/>
        <c:lblAlgn val="ctr"/>
        <c:lblOffset val="100"/>
        <c:noMultiLvlLbl val="0"/>
      </c:catAx>
      <c:valAx>
        <c:axId val="139417201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9417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v>Days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C6-4CB0-9F8B-56BF71E131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F5C-4592-AFD8-C76E867713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C6-4CB0-9F8B-56BF71E131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C6-4CB0-9F8B-56BF71E131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C6-4CB0-9F8B-56BF71E131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C6-4CB0-9F8B-56BF71E131D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C6-4CB0-9F8B-56BF71E131D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C6-4CB0-9F8B-56BF71E131D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C6-4CB0-9F8B-56BF71E131D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C6-4CB0-9F8B-56BF71E131D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AC6-4CB0-9F8B-56BF71E131D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AC6-4CB0-9F8B-56BF71E131D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'Trip Dreaming'!$M$6:$M$17</c:f>
              <c:strCache>
                <c:ptCount val="12"/>
                <c:pt idx="0">
                  <c:v>Zurich, Switzerland</c:v>
                </c:pt>
                <c:pt idx="1">
                  <c:v>Lucerne, Switzerland</c:v>
                </c:pt>
                <c:pt idx="2">
                  <c:v>Salzburg, Austria</c:v>
                </c:pt>
                <c:pt idx="3">
                  <c:v>Interlaken, Switzerland</c:v>
                </c:pt>
                <c:pt idx="4">
                  <c:v>Halstatt, Austria</c:v>
                </c:pt>
                <c:pt idx="5">
                  <c:v>Munich, Germany</c:v>
                </c:pt>
                <c:pt idx="6">
                  <c:v>Berlin, Germany</c:v>
                </c:pt>
                <c:pt idx="7">
                  <c:v>Amsterdam, Netherlands</c:v>
                </c:pt>
                <c:pt idx="8">
                  <c:v>Copenhagen, Denmark</c:v>
                </c:pt>
                <c:pt idx="9">
                  <c:v>Dublin, Ireland</c:v>
                </c:pt>
                <c:pt idx="10">
                  <c:v>Edinburgh, Scotland</c:v>
                </c:pt>
                <c:pt idx="11">
                  <c:v>London, England</c:v>
                </c:pt>
              </c:strCache>
            </c:strRef>
          </c:cat>
          <c:val>
            <c:numRef>
              <c:f>'Trip Dreaming'!$N$6:$N$17</c:f>
              <c:numCache>
                <c:formatCode>General</c:formatCode>
                <c:ptCount val="12"/>
                <c:pt idx="0">
                  <c:v>3</c:v>
                </c:pt>
                <c:pt idx="1">
                  <c:v>3</c:v>
                </c:pt>
                <c:pt idx="2">
                  <c:v>4</c:v>
                </c:pt>
                <c:pt idx="3">
                  <c:v>7</c:v>
                </c:pt>
                <c:pt idx="4">
                  <c:v>1</c:v>
                </c:pt>
                <c:pt idx="5">
                  <c:v>3</c:v>
                </c:pt>
                <c:pt idx="6">
                  <c:v>5</c:v>
                </c:pt>
                <c:pt idx="7">
                  <c:v>5</c:v>
                </c:pt>
                <c:pt idx="8">
                  <c:v>4</c:v>
                </c:pt>
                <c:pt idx="9">
                  <c:v>6</c:v>
                </c:pt>
                <c:pt idx="10">
                  <c:v>5</c:v>
                </c:pt>
                <c:pt idx="11">
                  <c:v>7</c:v>
                </c:pt>
              </c:numCache>
            </c:numRef>
          </c:val>
          <c:extLst>
            <c:ext xmlns:c16="http://schemas.microsoft.com/office/drawing/2014/chart" uri="{C3380CC4-5D6E-409C-BE32-E72D297353CC}">
              <c16:uniqueId val="{00000001-FF5C-4592-AFD8-C76E867713B2}"/>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hyperlink" Target="#'Trip Dreaming'!A1"/></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215900</xdr:colOff>
      <xdr:row>3</xdr:row>
      <xdr:rowOff>127000</xdr:rowOff>
    </xdr:from>
    <xdr:to>
      <xdr:col>10</xdr:col>
      <xdr:colOff>546100</xdr:colOff>
      <xdr:row>6</xdr:row>
      <xdr:rowOff>38100</xdr:rowOff>
    </xdr:to>
    <xdr:sp macro="" textlink="">
      <xdr:nvSpPr>
        <xdr:cNvPr id="6" name="Rectangle 5">
          <a:extLst>
            <a:ext uri="{FF2B5EF4-FFF2-40B4-BE49-F238E27FC236}">
              <a16:creationId xmlns:a16="http://schemas.microsoft.com/office/drawing/2014/main" id="{570A4AEB-E2A4-6152-93A0-C4F2C46053EC}"/>
            </a:ext>
          </a:extLst>
        </xdr:cNvPr>
        <xdr:cNvSpPr/>
      </xdr:nvSpPr>
      <xdr:spPr>
        <a:xfrm>
          <a:off x="2654300" y="14351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Itinerary</a:t>
          </a:r>
        </a:p>
      </xdr:txBody>
    </xdr:sp>
    <xdr:clientData/>
  </xdr:twoCellAnchor>
  <xdr:twoCellAnchor>
    <xdr:from>
      <xdr:col>4</xdr:col>
      <xdr:colOff>215900</xdr:colOff>
      <xdr:row>6</xdr:row>
      <xdr:rowOff>171450</xdr:rowOff>
    </xdr:from>
    <xdr:to>
      <xdr:col>10</xdr:col>
      <xdr:colOff>546100</xdr:colOff>
      <xdr:row>9</xdr:row>
      <xdr:rowOff>82550</xdr:rowOff>
    </xdr:to>
    <xdr:sp macro="" textlink="">
      <xdr:nvSpPr>
        <xdr:cNvPr id="7" name="Rectangle 6">
          <a:extLst>
            <a:ext uri="{FF2B5EF4-FFF2-40B4-BE49-F238E27FC236}">
              <a16:creationId xmlns:a16="http://schemas.microsoft.com/office/drawing/2014/main" id="{764A8EF1-69E7-4745-ABFF-D8894A1CE37A}"/>
            </a:ext>
          </a:extLst>
        </xdr:cNvPr>
        <xdr:cNvSpPr/>
      </xdr:nvSpPr>
      <xdr:spPr>
        <a:xfrm>
          <a:off x="2654300" y="20320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Itinerary</a:t>
          </a:r>
          <a:r>
            <a:rPr lang="en-US" sz="1400" b="1" baseline="0">
              <a:solidFill>
                <a:sysClr val="windowText" lastClr="000000"/>
              </a:solidFill>
            </a:rPr>
            <a:t> - Details</a:t>
          </a:r>
          <a:endParaRPr lang="en-US" sz="1400" b="1">
            <a:solidFill>
              <a:sysClr val="windowText" lastClr="000000"/>
            </a:solidFill>
          </a:endParaRPr>
        </a:p>
      </xdr:txBody>
    </xdr:sp>
    <xdr:clientData/>
  </xdr:twoCellAnchor>
  <xdr:twoCellAnchor>
    <xdr:from>
      <xdr:col>4</xdr:col>
      <xdr:colOff>215900</xdr:colOff>
      <xdr:row>10</xdr:row>
      <xdr:rowOff>38100</xdr:rowOff>
    </xdr:from>
    <xdr:to>
      <xdr:col>10</xdr:col>
      <xdr:colOff>546100</xdr:colOff>
      <xdr:row>12</xdr:row>
      <xdr:rowOff>133350</xdr:rowOff>
    </xdr:to>
    <xdr:sp macro="" textlink="">
      <xdr:nvSpPr>
        <xdr:cNvPr id="8" name="Rectangle 7">
          <a:hlinkClick xmlns:r="http://schemas.openxmlformats.org/officeDocument/2006/relationships" r:id="rId1"/>
          <a:extLst>
            <a:ext uri="{FF2B5EF4-FFF2-40B4-BE49-F238E27FC236}">
              <a16:creationId xmlns:a16="http://schemas.microsoft.com/office/drawing/2014/main" id="{D92D015B-7C19-4462-944E-EFC1BE12AA6C}"/>
            </a:ext>
          </a:extLst>
        </xdr:cNvPr>
        <xdr:cNvSpPr/>
      </xdr:nvSpPr>
      <xdr:spPr>
        <a:xfrm>
          <a:off x="2654300" y="26352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Trip</a:t>
          </a:r>
          <a:r>
            <a:rPr lang="en-US" sz="1400" b="1" baseline="0">
              <a:solidFill>
                <a:sysClr val="windowText" lastClr="000000"/>
              </a:solidFill>
            </a:rPr>
            <a:t> Dreaming</a:t>
          </a:r>
          <a:endParaRPr lang="en-US" sz="1400" b="1">
            <a:solidFill>
              <a:sysClr val="windowText" lastClr="000000"/>
            </a:solidFill>
          </a:endParaRPr>
        </a:p>
      </xdr:txBody>
    </xdr:sp>
    <xdr:clientData/>
  </xdr:twoCellAnchor>
  <xdr:twoCellAnchor>
    <xdr:from>
      <xdr:col>4</xdr:col>
      <xdr:colOff>222250</xdr:colOff>
      <xdr:row>13</xdr:row>
      <xdr:rowOff>101600</xdr:rowOff>
    </xdr:from>
    <xdr:to>
      <xdr:col>10</xdr:col>
      <xdr:colOff>552450</xdr:colOff>
      <xdr:row>16</xdr:row>
      <xdr:rowOff>12700</xdr:rowOff>
    </xdr:to>
    <xdr:sp macro="" textlink="">
      <xdr:nvSpPr>
        <xdr:cNvPr id="9" name="Rectangle 8">
          <a:extLst>
            <a:ext uri="{FF2B5EF4-FFF2-40B4-BE49-F238E27FC236}">
              <a16:creationId xmlns:a16="http://schemas.microsoft.com/office/drawing/2014/main" id="{257DEEDF-A89A-4061-A415-CFBD76D3B373}"/>
            </a:ext>
          </a:extLst>
        </xdr:cNvPr>
        <xdr:cNvSpPr/>
      </xdr:nvSpPr>
      <xdr:spPr>
        <a:xfrm>
          <a:off x="2660650" y="32512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Budget</a:t>
          </a:r>
        </a:p>
      </xdr:txBody>
    </xdr:sp>
    <xdr:clientData/>
  </xdr:twoCellAnchor>
  <xdr:twoCellAnchor>
    <xdr:from>
      <xdr:col>11</xdr:col>
      <xdr:colOff>133350</xdr:colOff>
      <xdr:row>3</xdr:row>
      <xdr:rowOff>133350</xdr:rowOff>
    </xdr:from>
    <xdr:to>
      <xdr:col>17</xdr:col>
      <xdr:colOff>463550</xdr:colOff>
      <xdr:row>6</xdr:row>
      <xdr:rowOff>44450</xdr:rowOff>
    </xdr:to>
    <xdr:sp macro="" textlink="">
      <xdr:nvSpPr>
        <xdr:cNvPr id="10" name="Rectangle 9">
          <a:extLst>
            <a:ext uri="{FF2B5EF4-FFF2-40B4-BE49-F238E27FC236}">
              <a16:creationId xmlns:a16="http://schemas.microsoft.com/office/drawing/2014/main" id="{E4861D45-27D6-4694-882C-89B025C87ACE}"/>
            </a:ext>
          </a:extLst>
        </xdr:cNvPr>
        <xdr:cNvSpPr/>
      </xdr:nvSpPr>
      <xdr:spPr>
        <a:xfrm>
          <a:off x="6838950" y="14414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Transportation</a:t>
          </a:r>
        </a:p>
      </xdr:txBody>
    </xdr:sp>
    <xdr:clientData/>
  </xdr:twoCellAnchor>
  <xdr:twoCellAnchor>
    <xdr:from>
      <xdr:col>11</xdr:col>
      <xdr:colOff>139700</xdr:colOff>
      <xdr:row>6</xdr:row>
      <xdr:rowOff>165100</xdr:rowOff>
    </xdr:from>
    <xdr:to>
      <xdr:col>17</xdr:col>
      <xdr:colOff>469900</xdr:colOff>
      <xdr:row>9</xdr:row>
      <xdr:rowOff>76200</xdr:rowOff>
    </xdr:to>
    <xdr:sp macro="" textlink="">
      <xdr:nvSpPr>
        <xdr:cNvPr id="11" name="Rectangle 10">
          <a:extLst>
            <a:ext uri="{FF2B5EF4-FFF2-40B4-BE49-F238E27FC236}">
              <a16:creationId xmlns:a16="http://schemas.microsoft.com/office/drawing/2014/main" id="{AE78A307-2631-4545-A072-88081F4E5D92}"/>
            </a:ext>
          </a:extLst>
        </xdr:cNvPr>
        <xdr:cNvSpPr/>
      </xdr:nvSpPr>
      <xdr:spPr>
        <a:xfrm>
          <a:off x="6845300" y="20256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Reservations</a:t>
          </a:r>
        </a:p>
      </xdr:txBody>
    </xdr:sp>
    <xdr:clientData/>
  </xdr:twoCellAnchor>
  <xdr:twoCellAnchor>
    <xdr:from>
      <xdr:col>11</xdr:col>
      <xdr:colOff>146050</xdr:colOff>
      <xdr:row>10</xdr:row>
      <xdr:rowOff>25400</xdr:rowOff>
    </xdr:from>
    <xdr:to>
      <xdr:col>17</xdr:col>
      <xdr:colOff>476250</xdr:colOff>
      <xdr:row>12</xdr:row>
      <xdr:rowOff>120650</xdr:rowOff>
    </xdr:to>
    <xdr:sp macro="" textlink="">
      <xdr:nvSpPr>
        <xdr:cNvPr id="13" name="Rectangle 12">
          <a:extLst>
            <a:ext uri="{FF2B5EF4-FFF2-40B4-BE49-F238E27FC236}">
              <a16:creationId xmlns:a16="http://schemas.microsoft.com/office/drawing/2014/main" id="{0150371E-9BCC-4844-AD04-1835DC63DC22}"/>
            </a:ext>
          </a:extLst>
        </xdr:cNvPr>
        <xdr:cNvSpPr/>
      </xdr:nvSpPr>
      <xdr:spPr>
        <a:xfrm>
          <a:off x="6851650" y="262255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Packing Checklist</a:t>
          </a:r>
        </a:p>
      </xdr:txBody>
    </xdr:sp>
    <xdr:clientData/>
  </xdr:twoCellAnchor>
  <xdr:twoCellAnchor>
    <xdr:from>
      <xdr:col>7</xdr:col>
      <xdr:colOff>501650</xdr:colOff>
      <xdr:row>16</xdr:row>
      <xdr:rowOff>133350</xdr:rowOff>
    </xdr:from>
    <xdr:to>
      <xdr:col>14</xdr:col>
      <xdr:colOff>222250</xdr:colOff>
      <xdr:row>19</xdr:row>
      <xdr:rowOff>44450</xdr:rowOff>
    </xdr:to>
    <xdr:sp macro="" textlink="">
      <xdr:nvSpPr>
        <xdr:cNvPr id="14" name="Rectangle 13">
          <a:extLst>
            <a:ext uri="{FF2B5EF4-FFF2-40B4-BE49-F238E27FC236}">
              <a16:creationId xmlns:a16="http://schemas.microsoft.com/office/drawing/2014/main" id="{2B24CAA7-99BA-4DAD-AF7F-02F88D233D29}"/>
            </a:ext>
          </a:extLst>
        </xdr:cNvPr>
        <xdr:cNvSpPr/>
      </xdr:nvSpPr>
      <xdr:spPr>
        <a:xfrm>
          <a:off x="4768850" y="38354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Trip</a:t>
          </a:r>
          <a:r>
            <a:rPr lang="en-US" sz="1400" b="1" baseline="0">
              <a:solidFill>
                <a:sysClr val="windowText" lastClr="000000"/>
              </a:solidFill>
            </a:rPr>
            <a:t> Dashboard</a:t>
          </a:r>
          <a:endParaRPr lang="en-US" sz="1400" b="1">
            <a:solidFill>
              <a:sysClr val="windowText" lastClr="000000"/>
            </a:solidFill>
          </a:endParaRPr>
        </a:p>
      </xdr:txBody>
    </xdr:sp>
    <xdr:clientData/>
  </xdr:twoCellAnchor>
  <xdr:twoCellAnchor>
    <xdr:from>
      <xdr:col>11</xdr:col>
      <xdr:colOff>139700</xdr:colOff>
      <xdr:row>13</xdr:row>
      <xdr:rowOff>101600</xdr:rowOff>
    </xdr:from>
    <xdr:to>
      <xdr:col>17</xdr:col>
      <xdr:colOff>469900</xdr:colOff>
      <xdr:row>16</xdr:row>
      <xdr:rowOff>12700</xdr:rowOff>
    </xdr:to>
    <xdr:sp macro="" textlink="">
      <xdr:nvSpPr>
        <xdr:cNvPr id="15" name="Rectangle 14">
          <a:extLst>
            <a:ext uri="{FF2B5EF4-FFF2-40B4-BE49-F238E27FC236}">
              <a16:creationId xmlns:a16="http://schemas.microsoft.com/office/drawing/2014/main" id="{B0A02434-3C54-4E7D-9D5A-D916D3C7DEAC}"/>
            </a:ext>
          </a:extLst>
        </xdr:cNvPr>
        <xdr:cNvSpPr/>
      </xdr:nvSpPr>
      <xdr:spPr>
        <a:xfrm>
          <a:off x="6845300" y="3251200"/>
          <a:ext cx="3987800" cy="4635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Plan Checklist</a:t>
          </a:r>
        </a:p>
      </xdr:txBody>
    </xdr:sp>
    <xdr:clientData/>
  </xdr:twoCellAnchor>
  <xdr:twoCellAnchor>
    <xdr:from>
      <xdr:col>4</xdr:col>
      <xdr:colOff>234950</xdr:colOff>
      <xdr:row>21</xdr:row>
      <xdr:rowOff>171450</xdr:rowOff>
    </xdr:from>
    <xdr:to>
      <xdr:col>11</xdr:col>
      <xdr:colOff>596900</xdr:colOff>
      <xdr:row>27</xdr:row>
      <xdr:rowOff>152400</xdr:rowOff>
    </xdr:to>
    <xdr:sp macro="" textlink="">
      <xdr:nvSpPr>
        <xdr:cNvPr id="16" name="Rectangle 15">
          <a:extLst>
            <a:ext uri="{FF2B5EF4-FFF2-40B4-BE49-F238E27FC236}">
              <a16:creationId xmlns:a16="http://schemas.microsoft.com/office/drawing/2014/main" id="{E720FF52-96CE-4D50-87CC-250F3AC504F6}"/>
            </a:ext>
          </a:extLst>
        </xdr:cNvPr>
        <xdr:cNvSpPr/>
      </xdr:nvSpPr>
      <xdr:spPr>
        <a:xfrm>
          <a:off x="2673350" y="4794250"/>
          <a:ext cx="4629150" cy="108585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Legend:</a:t>
          </a:r>
        </a:p>
        <a:p>
          <a:pPr algn="l"/>
          <a:r>
            <a:rPr lang="en-US" sz="1200" b="0">
              <a:solidFill>
                <a:sysClr val="windowText" lastClr="000000"/>
              </a:solidFill>
            </a:rPr>
            <a:t>Tabs</a:t>
          </a:r>
          <a:r>
            <a:rPr lang="en-US" sz="1200" b="0" baseline="0">
              <a:solidFill>
                <a:sysClr val="windowText" lastClr="000000"/>
              </a:solidFill>
            </a:rPr>
            <a:t> in</a:t>
          </a:r>
          <a:r>
            <a:rPr lang="en-US" sz="1200" b="0" baseline="0">
              <a:solidFill>
                <a:schemeClr val="accent1"/>
              </a:solidFill>
            </a:rPr>
            <a:t> </a:t>
          </a:r>
          <a:r>
            <a:rPr lang="en-US" sz="1200" b="1" baseline="0">
              <a:solidFill>
                <a:schemeClr val="accent1"/>
              </a:solidFill>
            </a:rPr>
            <a:t>Purple </a:t>
          </a:r>
          <a:r>
            <a:rPr lang="en-US" sz="1200" b="0" baseline="0">
              <a:solidFill>
                <a:sysClr val="windowText" lastClr="000000"/>
              </a:solidFill>
            </a:rPr>
            <a:t>you fill in. Some may be partially automated.</a:t>
          </a:r>
        </a:p>
        <a:p>
          <a:pPr algn="l"/>
          <a:r>
            <a:rPr lang="en-US" sz="1200" b="0" baseline="0">
              <a:solidFill>
                <a:sysClr val="windowText" lastClr="000000"/>
              </a:solidFill>
            </a:rPr>
            <a:t>Tabs in </a:t>
          </a:r>
          <a:r>
            <a:rPr lang="en-US" sz="1200" b="1" baseline="0">
              <a:solidFill>
                <a:schemeClr val="accent2">
                  <a:lumMod val="50000"/>
                </a:schemeClr>
              </a:solidFill>
            </a:rPr>
            <a:t>Green</a:t>
          </a:r>
          <a:r>
            <a:rPr lang="en-US" sz="1200" b="1" baseline="0">
              <a:solidFill>
                <a:sysClr val="windowText" lastClr="000000"/>
              </a:solidFill>
            </a:rPr>
            <a:t> </a:t>
          </a:r>
          <a:r>
            <a:rPr lang="en-US" sz="1200" b="0" baseline="0">
              <a:solidFill>
                <a:sysClr val="windowText" lastClr="000000"/>
              </a:solidFill>
            </a:rPr>
            <a:t>are magically populated with info you filled out in the </a:t>
          </a:r>
          <a:r>
            <a:rPr lang="en-US" sz="1200" b="1" baseline="0">
              <a:solidFill>
                <a:schemeClr val="accent1"/>
              </a:solidFill>
            </a:rPr>
            <a:t>Purple</a:t>
          </a:r>
          <a:r>
            <a:rPr lang="en-US" sz="1200" b="1" baseline="0">
              <a:solidFill>
                <a:sysClr val="windowText" lastClr="000000"/>
              </a:solidFill>
            </a:rPr>
            <a:t> </a:t>
          </a:r>
          <a:r>
            <a:rPr lang="en-US" sz="1200" b="0" baseline="0">
              <a:solidFill>
                <a:sysClr val="windowText" lastClr="000000"/>
              </a:solidFill>
            </a:rPr>
            <a:t>tabs.</a:t>
          </a:r>
        </a:p>
        <a:p>
          <a:pPr algn="l"/>
          <a:r>
            <a:rPr lang="en-US" sz="1200" b="0" baseline="0">
              <a:solidFill>
                <a:sysClr val="windowText" lastClr="000000"/>
              </a:solidFill>
            </a:rPr>
            <a:t>If you need any direction there are </a:t>
          </a:r>
          <a:r>
            <a:rPr lang="en-US" sz="1200" b="1" baseline="0">
              <a:solidFill>
                <a:schemeClr val="accent3">
                  <a:lumMod val="50000"/>
                </a:schemeClr>
              </a:solidFill>
            </a:rPr>
            <a:t>Example Tabs </a:t>
          </a:r>
          <a:r>
            <a:rPr lang="en-US" sz="1200" b="0" baseline="0">
              <a:solidFill>
                <a:sysClr val="windowText" lastClr="000000"/>
              </a:solidFill>
            </a:rPr>
            <a:t>in the back.</a:t>
          </a:r>
        </a:p>
      </xdr:txBody>
    </xdr:sp>
    <xdr:clientData/>
  </xdr:twoCellAnchor>
  <xdr:twoCellAnchor>
    <xdr:from>
      <xdr:col>12</xdr:col>
      <xdr:colOff>203200</xdr:colOff>
      <xdr:row>21</xdr:row>
      <xdr:rowOff>171450</xdr:rowOff>
    </xdr:from>
    <xdr:to>
      <xdr:col>17</xdr:col>
      <xdr:colOff>476250</xdr:colOff>
      <xdr:row>27</xdr:row>
      <xdr:rowOff>146050</xdr:rowOff>
    </xdr:to>
    <xdr:sp macro="" textlink="">
      <xdr:nvSpPr>
        <xdr:cNvPr id="18" name="Rectangle 17">
          <a:extLst>
            <a:ext uri="{FF2B5EF4-FFF2-40B4-BE49-F238E27FC236}">
              <a16:creationId xmlns:a16="http://schemas.microsoft.com/office/drawing/2014/main" id="{B0FB13BC-EA67-4B62-9601-661DB635AA2E}"/>
            </a:ext>
          </a:extLst>
        </xdr:cNvPr>
        <xdr:cNvSpPr/>
      </xdr:nvSpPr>
      <xdr:spPr>
        <a:xfrm>
          <a:off x="7518400" y="4794250"/>
          <a:ext cx="3321050" cy="1079500"/>
        </a:xfrm>
        <a:prstGeom prst="rect">
          <a:avLst/>
        </a:prstGeom>
        <a:solidFill>
          <a:schemeClr val="bg1"/>
        </a:solidFill>
        <a:ln>
          <a:solidFill>
            <a:sysClr val="windowText" lastClr="000000"/>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baseline="0">
              <a:solidFill>
                <a:sysClr val="windowText" lastClr="000000"/>
              </a:solidFill>
            </a:rPr>
            <a:t>I hope the spreadsheets included in this workbook help you plan an incredible journey. If you have any questions feel free to email me at:                </a:t>
          </a:r>
          <a:r>
            <a:rPr lang="en-US" sz="1200" b="1" baseline="0">
              <a:solidFill>
                <a:schemeClr val="accent1"/>
              </a:solidFill>
            </a:rPr>
            <a:t>hellohayleley@gmail.com</a:t>
          </a:r>
        </a:p>
        <a:p>
          <a:pPr algn="l"/>
          <a:r>
            <a:rPr lang="en-US" sz="1200" b="0" baseline="0">
              <a:solidFill>
                <a:sysClr val="windowText" lastClr="000000"/>
              </a:solidFill>
            </a:rPr>
            <a:t>Safe Travels!!!!! &lt;3 Hayley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215900</xdr:colOff>
      <xdr:row>0</xdr:row>
      <xdr:rowOff>104774</xdr:rowOff>
    </xdr:from>
    <xdr:to>
      <xdr:col>22</xdr:col>
      <xdr:colOff>362926</xdr:colOff>
      <xdr:row>17</xdr:row>
      <xdr:rowOff>76200</xdr:rowOff>
    </xdr:to>
    <xdr:graphicFrame macro="">
      <xdr:nvGraphicFramePr>
        <xdr:cNvPr id="3" name="Chart 2">
          <a:extLst>
            <a:ext uri="{FF2B5EF4-FFF2-40B4-BE49-F238E27FC236}">
              <a16:creationId xmlns:a16="http://schemas.microsoft.com/office/drawing/2014/main" id="{AAA8D789-161E-A883-1E30-11EF84158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79375</xdr:colOff>
      <xdr:row>0</xdr:row>
      <xdr:rowOff>92074</xdr:rowOff>
    </xdr:from>
    <xdr:to>
      <xdr:col>11</xdr:col>
      <xdr:colOff>82550</xdr:colOff>
      <xdr:row>32</xdr:row>
      <xdr:rowOff>133350</xdr:rowOff>
    </xdr:to>
    <xdr:graphicFrame macro="">
      <xdr:nvGraphicFramePr>
        <xdr:cNvPr id="4" name="Chart 3">
          <a:extLst>
            <a:ext uri="{FF2B5EF4-FFF2-40B4-BE49-F238E27FC236}">
              <a16:creationId xmlns:a16="http://schemas.microsoft.com/office/drawing/2014/main" id="{804C58A9-5D2D-1631-D5F8-CC9FC8B5E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198437</xdr:rowOff>
    </xdr:from>
    <xdr:to>
      <xdr:col>7</xdr:col>
      <xdr:colOff>1866900</xdr:colOff>
      <xdr:row>6</xdr:row>
      <xdr:rowOff>177800</xdr:rowOff>
    </xdr:to>
    <xdr:sp macro="" textlink="">
      <xdr:nvSpPr>
        <xdr:cNvPr id="2" name="Rectangle 1">
          <a:extLst>
            <a:ext uri="{FF2B5EF4-FFF2-40B4-BE49-F238E27FC236}">
              <a16:creationId xmlns:a16="http://schemas.microsoft.com/office/drawing/2014/main" id="{D331BAAE-5239-4F67-8BB1-210022CE25FA}"/>
            </a:ext>
          </a:extLst>
        </xdr:cNvPr>
        <xdr:cNvSpPr/>
      </xdr:nvSpPr>
      <xdr:spPr>
        <a:xfrm>
          <a:off x="7899400" y="1176337"/>
          <a:ext cx="5702300" cy="874713"/>
        </a:xfrm>
        <a:prstGeom prst="rect">
          <a:avLst/>
        </a:prstGeom>
        <a:solidFill>
          <a:schemeClr val="bg1"/>
        </a:solidFill>
        <a:ln>
          <a:solidFill>
            <a:schemeClr val="accent3">
              <a:lumMod val="50000"/>
            </a:schemeClr>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ysClr val="windowText" lastClr="000000"/>
              </a:solidFill>
            </a:rPr>
            <a:t>What does this spreadsheet mean?????</a:t>
          </a:r>
        </a:p>
        <a:p>
          <a:pPr algn="l"/>
          <a:r>
            <a:rPr lang="en-US" sz="1200" b="0" baseline="0">
              <a:solidFill>
                <a:sysClr val="windowText" lastClr="000000"/>
              </a:solidFill>
            </a:rPr>
            <a:t>No need to add any dates in because those are automatically populated by excel formulas running in the background based off of your trip start date. Also, if you are wondering why some cells can't be changed... it's because I locked them.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171450</xdr:colOff>
      <xdr:row>0</xdr:row>
      <xdr:rowOff>152400</xdr:rowOff>
    </xdr:from>
    <xdr:to>
      <xdr:col>8</xdr:col>
      <xdr:colOff>565150</xdr:colOff>
      <xdr:row>6</xdr:row>
      <xdr:rowOff>19050</xdr:rowOff>
    </xdr:to>
    <xdr:sp macro="" textlink="">
      <xdr:nvSpPr>
        <xdr:cNvPr id="2" name="Rectangle 1">
          <a:extLst>
            <a:ext uri="{FF2B5EF4-FFF2-40B4-BE49-F238E27FC236}">
              <a16:creationId xmlns:a16="http://schemas.microsoft.com/office/drawing/2014/main" id="{E1C22A9F-94F6-42B2-AF59-FF6DC71D74B9}"/>
            </a:ext>
          </a:extLst>
        </xdr:cNvPr>
        <xdr:cNvSpPr/>
      </xdr:nvSpPr>
      <xdr:spPr>
        <a:xfrm>
          <a:off x="7080250" y="152400"/>
          <a:ext cx="5454650" cy="1054100"/>
        </a:xfrm>
        <a:prstGeom prst="rect">
          <a:avLst/>
        </a:prstGeom>
        <a:solidFill>
          <a:schemeClr val="bg1"/>
        </a:solidFill>
        <a:ln>
          <a:solidFill>
            <a:schemeClr val="accent3">
              <a:lumMod val="50000"/>
            </a:schemeClr>
          </a:solidFill>
        </a:ln>
        <a:effectLst>
          <a:outerShdw dist="38100" dir="2700000" algn="tl" rotWithShape="0">
            <a:schemeClr val="accent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solidFill>
                <a:sysClr val="windowText" lastClr="000000"/>
              </a:solidFill>
            </a:rPr>
            <a:t>What does this spreadsheet mean?????</a:t>
          </a:r>
        </a:p>
        <a:p>
          <a:pPr algn="l"/>
          <a:r>
            <a:rPr lang="en-US" sz="1200" b="0" baseline="0">
              <a:solidFill>
                <a:sysClr val="windowText" lastClr="000000"/>
              </a:solidFill>
            </a:rPr>
            <a:t>What are all these empty rows and cells? This spreadsheet exists so you can see all of the data and information for your trip. This sheet feeds directly into your </a:t>
          </a:r>
          <a:r>
            <a:rPr lang="en-US" sz="1200" b="1" baseline="0">
              <a:solidFill>
                <a:schemeClr val="accent2">
                  <a:lumMod val="50000"/>
                </a:schemeClr>
              </a:solidFill>
            </a:rPr>
            <a:t>Itinerary</a:t>
          </a:r>
          <a:r>
            <a:rPr lang="en-US" sz="1200" b="1" baseline="0">
              <a:solidFill>
                <a:sysClr val="windowText" lastClr="000000"/>
              </a:solidFill>
            </a:rPr>
            <a:t> </a:t>
          </a:r>
          <a:r>
            <a:rPr lang="en-US" sz="1200" b="1" baseline="0">
              <a:solidFill>
                <a:schemeClr val="accent2">
                  <a:lumMod val="50000"/>
                </a:schemeClr>
              </a:solidFill>
            </a:rPr>
            <a:t>Calendar</a:t>
          </a:r>
          <a:r>
            <a:rPr lang="en-US" sz="1200" b="0" baseline="0">
              <a:solidFill>
                <a:sysClr val="windowText" lastClr="000000"/>
              </a:solidFill>
            </a:rPr>
            <a:t> sheet - which means all the empty cells are placeholders for the days of the month you are not traveling. The cells that are plain white can be edited!</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5</xdr:row>
          <xdr:rowOff>171450</xdr:rowOff>
        </xdr:from>
        <xdr:to>
          <xdr:col>5</xdr:col>
          <xdr:colOff>0</xdr:colOff>
          <xdr:row>7</xdr:row>
          <xdr:rowOff>12700</xdr:rowOff>
        </xdr:to>
        <xdr:sp macro="" textlink="">
          <xdr:nvSpPr>
            <xdr:cNvPr id="19458" name="Check Box 2" hidden="1">
              <a:extLst>
                <a:ext uri="{63B3BB69-23CF-44E3-9099-C40C66FF867C}">
                  <a14:compatExt spid="_x0000_s19458"/>
                </a:ext>
                <a:ext uri="{FF2B5EF4-FFF2-40B4-BE49-F238E27FC236}">
                  <a16:creationId xmlns:a16="http://schemas.microsoft.com/office/drawing/2014/main" id="{00000000-0008-0000-0A00-00000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171450</xdr:rowOff>
        </xdr:from>
        <xdr:to>
          <xdr:col>5</xdr:col>
          <xdr:colOff>0</xdr:colOff>
          <xdr:row>8</xdr:row>
          <xdr:rowOff>19050</xdr:rowOff>
        </xdr:to>
        <xdr:sp macro="" textlink="">
          <xdr:nvSpPr>
            <xdr:cNvPr id="19459" name="Check Box 3" hidden="1">
              <a:extLst>
                <a:ext uri="{63B3BB69-23CF-44E3-9099-C40C66FF867C}">
                  <a14:compatExt spid="_x0000_s19459"/>
                </a:ext>
                <a:ext uri="{FF2B5EF4-FFF2-40B4-BE49-F238E27FC236}">
                  <a16:creationId xmlns:a16="http://schemas.microsoft.com/office/drawing/2014/main" id="{381EBB02-00DC-4930-8143-E014F20E9BA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5</xdr:col>
          <xdr:colOff>0</xdr:colOff>
          <xdr:row>9</xdr:row>
          <xdr:rowOff>19050</xdr:rowOff>
        </xdr:to>
        <xdr:sp macro="" textlink="">
          <xdr:nvSpPr>
            <xdr:cNvPr id="19460" name="Check Box 4" hidden="1">
              <a:extLst>
                <a:ext uri="{63B3BB69-23CF-44E3-9099-C40C66FF867C}">
                  <a14:compatExt spid="_x0000_s19460"/>
                </a:ext>
                <a:ext uri="{FF2B5EF4-FFF2-40B4-BE49-F238E27FC236}">
                  <a16:creationId xmlns:a16="http://schemas.microsoft.com/office/drawing/2014/main" id="{386313E4-DEF8-4906-9393-B2B9C894003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171450</xdr:rowOff>
        </xdr:from>
        <xdr:to>
          <xdr:col>5</xdr:col>
          <xdr:colOff>0</xdr:colOff>
          <xdr:row>10</xdr:row>
          <xdr:rowOff>19050</xdr:rowOff>
        </xdr:to>
        <xdr:sp macro="" textlink="">
          <xdr:nvSpPr>
            <xdr:cNvPr id="19461" name="Check Box 5" hidden="1">
              <a:extLst>
                <a:ext uri="{63B3BB69-23CF-44E3-9099-C40C66FF867C}">
                  <a14:compatExt spid="_x0000_s19461"/>
                </a:ext>
                <a:ext uri="{FF2B5EF4-FFF2-40B4-BE49-F238E27FC236}">
                  <a16:creationId xmlns:a16="http://schemas.microsoft.com/office/drawing/2014/main" id="{5F2683FB-D674-454E-B49C-FA4071A1152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171450</xdr:rowOff>
        </xdr:from>
        <xdr:to>
          <xdr:col>5</xdr:col>
          <xdr:colOff>0</xdr:colOff>
          <xdr:row>11</xdr:row>
          <xdr:rowOff>12700</xdr:rowOff>
        </xdr:to>
        <xdr:sp macro="" textlink="">
          <xdr:nvSpPr>
            <xdr:cNvPr id="19462" name="Check Box 6" hidden="1">
              <a:extLst>
                <a:ext uri="{63B3BB69-23CF-44E3-9099-C40C66FF867C}">
                  <a14:compatExt spid="_x0000_s19462"/>
                </a:ext>
                <a:ext uri="{FF2B5EF4-FFF2-40B4-BE49-F238E27FC236}">
                  <a16:creationId xmlns:a16="http://schemas.microsoft.com/office/drawing/2014/main" id="{39D9B9B4-5890-451D-AB20-C999B1C4F1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10</xdr:row>
          <xdr:rowOff>171450</xdr:rowOff>
        </xdr:from>
        <xdr:to>
          <xdr:col>5</xdr:col>
          <xdr:colOff>0</xdr:colOff>
          <xdr:row>12</xdr:row>
          <xdr:rowOff>6350</xdr:rowOff>
        </xdr:to>
        <xdr:sp macro="" textlink="">
          <xdr:nvSpPr>
            <xdr:cNvPr id="19463" name="Check Box 7" hidden="1">
              <a:extLst>
                <a:ext uri="{63B3BB69-23CF-44E3-9099-C40C66FF867C}">
                  <a14:compatExt spid="_x0000_s19463"/>
                </a:ext>
                <a:ext uri="{FF2B5EF4-FFF2-40B4-BE49-F238E27FC236}">
                  <a16:creationId xmlns:a16="http://schemas.microsoft.com/office/drawing/2014/main" id="{824450EE-023E-4F2B-851A-C9AACB05AF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171450</xdr:rowOff>
        </xdr:from>
        <xdr:to>
          <xdr:col>5</xdr:col>
          <xdr:colOff>0</xdr:colOff>
          <xdr:row>13</xdr:row>
          <xdr:rowOff>6350</xdr:rowOff>
        </xdr:to>
        <xdr:sp macro="" textlink="">
          <xdr:nvSpPr>
            <xdr:cNvPr id="19464" name="Check Box 8" hidden="1">
              <a:extLst>
                <a:ext uri="{63B3BB69-23CF-44E3-9099-C40C66FF867C}">
                  <a14:compatExt spid="_x0000_s19464"/>
                </a:ext>
                <a:ext uri="{FF2B5EF4-FFF2-40B4-BE49-F238E27FC236}">
                  <a16:creationId xmlns:a16="http://schemas.microsoft.com/office/drawing/2014/main" id="{3333037A-419A-4889-A401-241E94810D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171450</xdr:rowOff>
        </xdr:from>
        <xdr:to>
          <xdr:col>5</xdr:col>
          <xdr:colOff>0</xdr:colOff>
          <xdr:row>14</xdr:row>
          <xdr:rowOff>6350</xdr:rowOff>
        </xdr:to>
        <xdr:sp macro="" textlink="">
          <xdr:nvSpPr>
            <xdr:cNvPr id="19465" name="Check Box 9" hidden="1">
              <a:extLst>
                <a:ext uri="{63B3BB69-23CF-44E3-9099-C40C66FF867C}">
                  <a14:compatExt spid="_x0000_s19465"/>
                </a:ext>
                <a:ext uri="{FF2B5EF4-FFF2-40B4-BE49-F238E27FC236}">
                  <a16:creationId xmlns:a16="http://schemas.microsoft.com/office/drawing/2014/main" id="{0ECEE71F-4B78-469A-BAA1-5BF02C866D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13</xdr:row>
          <xdr:rowOff>171450</xdr:rowOff>
        </xdr:from>
        <xdr:to>
          <xdr:col>5</xdr:col>
          <xdr:colOff>0</xdr:colOff>
          <xdr:row>15</xdr:row>
          <xdr:rowOff>12700</xdr:rowOff>
        </xdr:to>
        <xdr:sp macro="" textlink="">
          <xdr:nvSpPr>
            <xdr:cNvPr id="19466" name="Check Box 10" hidden="1">
              <a:extLst>
                <a:ext uri="{63B3BB69-23CF-44E3-9099-C40C66FF867C}">
                  <a14:compatExt spid="_x0000_s19466"/>
                </a:ext>
                <a:ext uri="{FF2B5EF4-FFF2-40B4-BE49-F238E27FC236}">
                  <a16:creationId xmlns:a16="http://schemas.microsoft.com/office/drawing/2014/main" id="{EA6D52D2-968E-48FF-8C09-BEE4E924B27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14</xdr:row>
          <xdr:rowOff>171450</xdr:rowOff>
        </xdr:from>
        <xdr:to>
          <xdr:col>5</xdr:col>
          <xdr:colOff>0</xdr:colOff>
          <xdr:row>16</xdr:row>
          <xdr:rowOff>12700</xdr:rowOff>
        </xdr:to>
        <xdr:sp macro="" textlink="">
          <xdr:nvSpPr>
            <xdr:cNvPr id="19467" name="Check Box 11" hidden="1">
              <a:extLst>
                <a:ext uri="{63B3BB69-23CF-44E3-9099-C40C66FF867C}">
                  <a14:compatExt spid="_x0000_s19467"/>
                </a:ext>
                <a:ext uri="{FF2B5EF4-FFF2-40B4-BE49-F238E27FC236}">
                  <a16:creationId xmlns:a16="http://schemas.microsoft.com/office/drawing/2014/main" id="{77AA0607-67D6-4C26-B487-7F06390842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15</xdr:row>
          <xdr:rowOff>171450</xdr:rowOff>
        </xdr:from>
        <xdr:to>
          <xdr:col>5</xdr:col>
          <xdr:colOff>0</xdr:colOff>
          <xdr:row>17</xdr:row>
          <xdr:rowOff>6350</xdr:rowOff>
        </xdr:to>
        <xdr:sp macro="" textlink="">
          <xdr:nvSpPr>
            <xdr:cNvPr id="19468" name="Check Box 12" hidden="1">
              <a:extLst>
                <a:ext uri="{63B3BB69-23CF-44E3-9099-C40C66FF867C}">
                  <a14:compatExt spid="_x0000_s19468"/>
                </a:ext>
                <a:ext uri="{FF2B5EF4-FFF2-40B4-BE49-F238E27FC236}">
                  <a16:creationId xmlns:a16="http://schemas.microsoft.com/office/drawing/2014/main" id="{4249489F-2F53-466C-99B6-0AC9B1D63BE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16</xdr:row>
          <xdr:rowOff>171450</xdr:rowOff>
        </xdr:from>
        <xdr:to>
          <xdr:col>5</xdr:col>
          <xdr:colOff>0</xdr:colOff>
          <xdr:row>18</xdr:row>
          <xdr:rowOff>12700</xdr:rowOff>
        </xdr:to>
        <xdr:sp macro="" textlink="">
          <xdr:nvSpPr>
            <xdr:cNvPr id="19469" name="Check Box 13" hidden="1">
              <a:extLst>
                <a:ext uri="{63B3BB69-23CF-44E3-9099-C40C66FF867C}">
                  <a14:compatExt spid="_x0000_s19469"/>
                </a:ext>
                <a:ext uri="{FF2B5EF4-FFF2-40B4-BE49-F238E27FC236}">
                  <a16:creationId xmlns:a16="http://schemas.microsoft.com/office/drawing/2014/main" id="{D64CA6AB-7567-4E8F-8B9A-6F95FB693F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17</xdr:row>
          <xdr:rowOff>171450</xdr:rowOff>
        </xdr:from>
        <xdr:to>
          <xdr:col>5</xdr:col>
          <xdr:colOff>0</xdr:colOff>
          <xdr:row>19</xdr:row>
          <xdr:rowOff>12700</xdr:rowOff>
        </xdr:to>
        <xdr:sp macro="" textlink="">
          <xdr:nvSpPr>
            <xdr:cNvPr id="19470" name="Check Box 14" hidden="1">
              <a:extLst>
                <a:ext uri="{63B3BB69-23CF-44E3-9099-C40C66FF867C}">
                  <a14:compatExt spid="_x0000_s19470"/>
                </a:ext>
                <a:ext uri="{FF2B5EF4-FFF2-40B4-BE49-F238E27FC236}">
                  <a16:creationId xmlns:a16="http://schemas.microsoft.com/office/drawing/2014/main" id="{A0321188-55E2-45DE-9125-6DA1C2A2C7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18</xdr:row>
          <xdr:rowOff>171450</xdr:rowOff>
        </xdr:from>
        <xdr:to>
          <xdr:col>5</xdr:col>
          <xdr:colOff>0</xdr:colOff>
          <xdr:row>20</xdr:row>
          <xdr:rowOff>12700</xdr:rowOff>
        </xdr:to>
        <xdr:sp macro="" textlink="">
          <xdr:nvSpPr>
            <xdr:cNvPr id="19471" name="Check Box 15" hidden="1">
              <a:extLst>
                <a:ext uri="{63B3BB69-23CF-44E3-9099-C40C66FF867C}">
                  <a14:compatExt spid="_x0000_s19471"/>
                </a:ext>
                <a:ext uri="{FF2B5EF4-FFF2-40B4-BE49-F238E27FC236}">
                  <a16:creationId xmlns:a16="http://schemas.microsoft.com/office/drawing/2014/main" id="{AE964451-33AA-450C-8A07-64F28ED509E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19</xdr:row>
          <xdr:rowOff>171450</xdr:rowOff>
        </xdr:from>
        <xdr:to>
          <xdr:col>5</xdr:col>
          <xdr:colOff>0</xdr:colOff>
          <xdr:row>21</xdr:row>
          <xdr:rowOff>19050</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120AD49C-4CD0-4570-A27F-0E98E47F1CC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20</xdr:row>
          <xdr:rowOff>171450</xdr:rowOff>
        </xdr:from>
        <xdr:to>
          <xdr:col>5</xdr:col>
          <xdr:colOff>0</xdr:colOff>
          <xdr:row>22</xdr:row>
          <xdr:rowOff>19050</xdr:rowOff>
        </xdr:to>
        <xdr:sp macro="" textlink="">
          <xdr:nvSpPr>
            <xdr:cNvPr id="19473" name="Check Box 17" hidden="1">
              <a:extLst>
                <a:ext uri="{63B3BB69-23CF-44E3-9099-C40C66FF867C}">
                  <a14:compatExt spid="_x0000_s19473"/>
                </a:ext>
                <a:ext uri="{FF2B5EF4-FFF2-40B4-BE49-F238E27FC236}">
                  <a16:creationId xmlns:a16="http://schemas.microsoft.com/office/drawing/2014/main" id="{7F93426A-9C49-4CFF-9780-5C148E1A8EB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21</xdr:row>
          <xdr:rowOff>171450</xdr:rowOff>
        </xdr:from>
        <xdr:to>
          <xdr:col>5</xdr:col>
          <xdr:colOff>0</xdr:colOff>
          <xdr:row>23</xdr:row>
          <xdr:rowOff>19050</xdr:rowOff>
        </xdr:to>
        <xdr:sp macro="" textlink="">
          <xdr:nvSpPr>
            <xdr:cNvPr id="19474" name="Check Box 18" hidden="1">
              <a:extLst>
                <a:ext uri="{63B3BB69-23CF-44E3-9099-C40C66FF867C}">
                  <a14:compatExt spid="_x0000_s19474"/>
                </a:ext>
                <a:ext uri="{FF2B5EF4-FFF2-40B4-BE49-F238E27FC236}">
                  <a16:creationId xmlns:a16="http://schemas.microsoft.com/office/drawing/2014/main" id="{F14D3325-FCEC-411E-B84F-DD0D4E58528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22</xdr:row>
          <xdr:rowOff>171450</xdr:rowOff>
        </xdr:from>
        <xdr:to>
          <xdr:col>5</xdr:col>
          <xdr:colOff>0</xdr:colOff>
          <xdr:row>24</xdr:row>
          <xdr:rowOff>19050</xdr:rowOff>
        </xdr:to>
        <xdr:sp macro="" textlink="">
          <xdr:nvSpPr>
            <xdr:cNvPr id="19475" name="Check Box 19" hidden="1">
              <a:extLst>
                <a:ext uri="{63B3BB69-23CF-44E3-9099-C40C66FF867C}">
                  <a14:compatExt spid="_x0000_s19475"/>
                </a:ext>
                <a:ext uri="{FF2B5EF4-FFF2-40B4-BE49-F238E27FC236}">
                  <a16:creationId xmlns:a16="http://schemas.microsoft.com/office/drawing/2014/main" id="{917E230E-8D64-4922-95B3-8A57D0105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23</xdr:row>
          <xdr:rowOff>171450</xdr:rowOff>
        </xdr:from>
        <xdr:to>
          <xdr:col>5</xdr:col>
          <xdr:colOff>0</xdr:colOff>
          <xdr:row>25</xdr:row>
          <xdr:rowOff>12700</xdr:rowOff>
        </xdr:to>
        <xdr:sp macro="" textlink="">
          <xdr:nvSpPr>
            <xdr:cNvPr id="19476" name="Check Box 20" hidden="1">
              <a:extLst>
                <a:ext uri="{63B3BB69-23CF-44E3-9099-C40C66FF867C}">
                  <a14:compatExt spid="_x0000_s19476"/>
                </a:ext>
                <a:ext uri="{FF2B5EF4-FFF2-40B4-BE49-F238E27FC236}">
                  <a16:creationId xmlns:a16="http://schemas.microsoft.com/office/drawing/2014/main" id="{D6E75EC4-6AD1-47CF-8FAA-B730998CEE5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24</xdr:row>
          <xdr:rowOff>171450</xdr:rowOff>
        </xdr:from>
        <xdr:to>
          <xdr:col>5</xdr:col>
          <xdr:colOff>0</xdr:colOff>
          <xdr:row>26</xdr:row>
          <xdr:rowOff>6350</xdr:rowOff>
        </xdr:to>
        <xdr:sp macro="" textlink="">
          <xdr:nvSpPr>
            <xdr:cNvPr id="19477" name="Check Box 21" hidden="1">
              <a:extLst>
                <a:ext uri="{63B3BB69-23CF-44E3-9099-C40C66FF867C}">
                  <a14:compatExt spid="_x0000_s19477"/>
                </a:ext>
                <a:ext uri="{FF2B5EF4-FFF2-40B4-BE49-F238E27FC236}">
                  <a16:creationId xmlns:a16="http://schemas.microsoft.com/office/drawing/2014/main" id="{4E3F51BE-1305-48C3-8B3C-E2739CB0916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25</xdr:row>
          <xdr:rowOff>171450</xdr:rowOff>
        </xdr:from>
        <xdr:to>
          <xdr:col>5</xdr:col>
          <xdr:colOff>0</xdr:colOff>
          <xdr:row>27</xdr:row>
          <xdr:rowOff>12700</xdr:rowOff>
        </xdr:to>
        <xdr:sp macro="" textlink="">
          <xdr:nvSpPr>
            <xdr:cNvPr id="19478" name="Check Box 22" hidden="1">
              <a:extLst>
                <a:ext uri="{63B3BB69-23CF-44E3-9099-C40C66FF867C}">
                  <a14:compatExt spid="_x0000_s19478"/>
                </a:ext>
                <a:ext uri="{FF2B5EF4-FFF2-40B4-BE49-F238E27FC236}">
                  <a16:creationId xmlns:a16="http://schemas.microsoft.com/office/drawing/2014/main" id="{5DA50ECE-484E-4FA5-B697-EEA12FF55A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26</xdr:row>
          <xdr:rowOff>171450</xdr:rowOff>
        </xdr:from>
        <xdr:to>
          <xdr:col>5</xdr:col>
          <xdr:colOff>0</xdr:colOff>
          <xdr:row>28</xdr:row>
          <xdr:rowOff>12700</xdr:rowOff>
        </xdr:to>
        <xdr:sp macro="" textlink="">
          <xdr:nvSpPr>
            <xdr:cNvPr id="19479" name="Check Box 23" hidden="1">
              <a:extLst>
                <a:ext uri="{63B3BB69-23CF-44E3-9099-C40C66FF867C}">
                  <a14:compatExt spid="_x0000_s19479"/>
                </a:ext>
                <a:ext uri="{FF2B5EF4-FFF2-40B4-BE49-F238E27FC236}">
                  <a16:creationId xmlns:a16="http://schemas.microsoft.com/office/drawing/2014/main" id="{84338099-5F6B-488F-AC6C-174F6D4B409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27</xdr:row>
          <xdr:rowOff>171450</xdr:rowOff>
        </xdr:from>
        <xdr:to>
          <xdr:col>5</xdr:col>
          <xdr:colOff>0</xdr:colOff>
          <xdr:row>29</xdr:row>
          <xdr:rowOff>12700</xdr:rowOff>
        </xdr:to>
        <xdr:sp macro="" textlink="">
          <xdr:nvSpPr>
            <xdr:cNvPr id="19480" name="Check Box 24" hidden="1">
              <a:extLst>
                <a:ext uri="{63B3BB69-23CF-44E3-9099-C40C66FF867C}">
                  <a14:compatExt spid="_x0000_s19480"/>
                </a:ext>
                <a:ext uri="{FF2B5EF4-FFF2-40B4-BE49-F238E27FC236}">
                  <a16:creationId xmlns:a16="http://schemas.microsoft.com/office/drawing/2014/main" id="{20E9ACE5-EA0E-4D09-B2AA-47550D406B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28</xdr:row>
          <xdr:rowOff>171450</xdr:rowOff>
        </xdr:from>
        <xdr:to>
          <xdr:col>5</xdr:col>
          <xdr:colOff>0</xdr:colOff>
          <xdr:row>30</xdr:row>
          <xdr:rowOff>19050</xdr:rowOff>
        </xdr:to>
        <xdr:sp macro="" textlink="">
          <xdr:nvSpPr>
            <xdr:cNvPr id="19481" name="Check Box 25" hidden="1">
              <a:extLst>
                <a:ext uri="{63B3BB69-23CF-44E3-9099-C40C66FF867C}">
                  <a14:compatExt spid="_x0000_s19481"/>
                </a:ext>
                <a:ext uri="{FF2B5EF4-FFF2-40B4-BE49-F238E27FC236}">
                  <a16:creationId xmlns:a16="http://schemas.microsoft.com/office/drawing/2014/main" id="{B98D8778-5775-49EC-942C-57A467B8538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29</xdr:row>
          <xdr:rowOff>171450</xdr:rowOff>
        </xdr:from>
        <xdr:to>
          <xdr:col>5</xdr:col>
          <xdr:colOff>0</xdr:colOff>
          <xdr:row>31</xdr:row>
          <xdr:rowOff>19050</xdr:rowOff>
        </xdr:to>
        <xdr:sp macro="" textlink="">
          <xdr:nvSpPr>
            <xdr:cNvPr id="19482" name="Check Box 26" hidden="1">
              <a:extLst>
                <a:ext uri="{63B3BB69-23CF-44E3-9099-C40C66FF867C}">
                  <a14:compatExt spid="_x0000_s19482"/>
                </a:ext>
                <a:ext uri="{FF2B5EF4-FFF2-40B4-BE49-F238E27FC236}">
                  <a16:creationId xmlns:a16="http://schemas.microsoft.com/office/drawing/2014/main" id="{3BF09390-94EC-4A8C-A2D8-904122A4CE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30</xdr:row>
          <xdr:rowOff>171450</xdr:rowOff>
        </xdr:from>
        <xdr:to>
          <xdr:col>5</xdr:col>
          <xdr:colOff>0</xdr:colOff>
          <xdr:row>32</xdr:row>
          <xdr:rowOff>19050</xdr:rowOff>
        </xdr:to>
        <xdr:sp macro="" textlink="">
          <xdr:nvSpPr>
            <xdr:cNvPr id="19483" name="Check Box 27" hidden="1">
              <a:extLst>
                <a:ext uri="{63B3BB69-23CF-44E3-9099-C40C66FF867C}">
                  <a14:compatExt spid="_x0000_s19483"/>
                </a:ext>
                <a:ext uri="{FF2B5EF4-FFF2-40B4-BE49-F238E27FC236}">
                  <a16:creationId xmlns:a16="http://schemas.microsoft.com/office/drawing/2014/main" id="{ED0AE587-2FA1-452E-8994-1C609DEFA4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31</xdr:row>
          <xdr:rowOff>171450</xdr:rowOff>
        </xdr:from>
        <xdr:to>
          <xdr:col>5</xdr:col>
          <xdr:colOff>0</xdr:colOff>
          <xdr:row>33</xdr:row>
          <xdr:rowOff>12700</xdr:rowOff>
        </xdr:to>
        <xdr:sp macro="" textlink="">
          <xdr:nvSpPr>
            <xdr:cNvPr id="19484" name="Check Box 28" hidden="1">
              <a:extLst>
                <a:ext uri="{63B3BB69-23CF-44E3-9099-C40C66FF867C}">
                  <a14:compatExt spid="_x0000_s19484"/>
                </a:ext>
                <a:ext uri="{FF2B5EF4-FFF2-40B4-BE49-F238E27FC236}">
                  <a16:creationId xmlns:a16="http://schemas.microsoft.com/office/drawing/2014/main" id="{A37E7E81-EF97-429D-898D-0E6B07F7211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xdr:row>
          <xdr:rowOff>171450</xdr:rowOff>
        </xdr:from>
        <xdr:to>
          <xdr:col>9</xdr:col>
          <xdr:colOff>0</xdr:colOff>
          <xdr:row>4</xdr:row>
          <xdr:rowOff>6350</xdr:rowOff>
        </xdr:to>
        <xdr:sp macro="" textlink="">
          <xdr:nvSpPr>
            <xdr:cNvPr id="19485" name="Check Box 29" hidden="1">
              <a:extLst>
                <a:ext uri="{63B3BB69-23CF-44E3-9099-C40C66FF867C}">
                  <a14:compatExt spid="_x0000_s19485"/>
                </a:ext>
                <a:ext uri="{FF2B5EF4-FFF2-40B4-BE49-F238E27FC236}">
                  <a16:creationId xmlns:a16="http://schemas.microsoft.com/office/drawing/2014/main" id="{3E5EC5E6-B603-447D-A46F-8736BCF528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xdr:row>
          <xdr:rowOff>171450</xdr:rowOff>
        </xdr:from>
        <xdr:to>
          <xdr:col>9</xdr:col>
          <xdr:colOff>0</xdr:colOff>
          <xdr:row>5</xdr:row>
          <xdr:rowOff>12700</xdr:rowOff>
        </xdr:to>
        <xdr:sp macro="" textlink="">
          <xdr:nvSpPr>
            <xdr:cNvPr id="19486" name="Check Box 30" hidden="1">
              <a:extLst>
                <a:ext uri="{63B3BB69-23CF-44E3-9099-C40C66FF867C}">
                  <a14:compatExt spid="_x0000_s19486"/>
                </a:ext>
                <a:ext uri="{FF2B5EF4-FFF2-40B4-BE49-F238E27FC236}">
                  <a16:creationId xmlns:a16="http://schemas.microsoft.com/office/drawing/2014/main" id="{A7F01AFD-7F7D-4CB4-B063-090A34441E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xdr:row>
          <xdr:rowOff>171450</xdr:rowOff>
        </xdr:from>
        <xdr:to>
          <xdr:col>9</xdr:col>
          <xdr:colOff>0</xdr:colOff>
          <xdr:row>6</xdr:row>
          <xdr:rowOff>12700</xdr:rowOff>
        </xdr:to>
        <xdr:sp macro="" textlink="">
          <xdr:nvSpPr>
            <xdr:cNvPr id="19487" name="Check Box 31" hidden="1">
              <a:extLst>
                <a:ext uri="{63B3BB69-23CF-44E3-9099-C40C66FF867C}">
                  <a14:compatExt spid="_x0000_s19487"/>
                </a:ext>
                <a:ext uri="{FF2B5EF4-FFF2-40B4-BE49-F238E27FC236}">
                  <a16:creationId xmlns:a16="http://schemas.microsoft.com/office/drawing/2014/main" id="{6B8E7EDB-B126-4F38-8E3D-28224E8990A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5</xdr:row>
          <xdr:rowOff>171450</xdr:rowOff>
        </xdr:from>
        <xdr:to>
          <xdr:col>9</xdr:col>
          <xdr:colOff>0</xdr:colOff>
          <xdr:row>7</xdr:row>
          <xdr:rowOff>12700</xdr:rowOff>
        </xdr:to>
        <xdr:sp macro="" textlink="">
          <xdr:nvSpPr>
            <xdr:cNvPr id="19488" name="Check Box 32" hidden="1">
              <a:extLst>
                <a:ext uri="{63B3BB69-23CF-44E3-9099-C40C66FF867C}">
                  <a14:compatExt spid="_x0000_s19488"/>
                </a:ext>
                <a:ext uri="{FF2B5EF4-FFF2-40B4-BE49-F238E27FC236}">
                  <a16:creationId xmlns:a16="http://schemas.microsoft.com/office/drawing/2014/main" id="{DEF20414-7C72-49D7-8546-23575D51C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xdr:row>
          <xdr:rowOff>171450</xdr:rowOff>
        </xdr:from>
        <xdr:to>
          <xdr:col>9</xdr:col>
          <xdr:colOff>0</xdr:colOff>
          <xdr:row>8</xdr:row>
          <xdr:rowOff>19050</xdr:rowOff>
        </xdr:to>
        <xdr:sp macro="" textlink="">
          <xdr:nvSpPr>
            <xdr:cNvPr id="19489" name="Check Box 33" hidden="1">
              <a:extLst>
                <a:ext uri="{63B3BB69-23CF-44E3-9099-C40C66FF867C}">
                  <a14:compatExt spid="_x0000_s19489"/>
                </a:ext>
                <a:ext uri="{FF2B5EF4-FFF2-40B4-BE49-F238E27FC236}">
                  <a16:creationId xmlns:a16="http://schemas.microsoft.com/office/drawing/2014/main" id="{6AFCD456-0F71-47CB-B820-E0C5A7C2CF3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xdr:row>
          <xdr:rowOff>171450</xdr:rowOff>
        </xdr:from>
        <xdr:to>
          <xdr:col>9</xdr:col>
          <xdr:colOff>0</xdr:colOff>
          <xdr:row>9</xdr:row>
          <xdr:rowOff>19050</xdr:rowOff>
        </xdr:to>
        <xdr:sp macro="" textlink="">
          <xdr:nvSpPr>
            <xdr:cNvPr id="19490" name="Check Box 34" hidden="1">
              <a:extLst>
                <a:ext uri="{63B3BB69-23CF-44E3-9099-C40C66FF867C}">
                  <a14:compatExt spid="_x0000_s19490"/>
                </a:ext>
                <a:ext uri="{FF2B5EF4-FFF2-40B4-BE49-F238E27FC236}">
                  <a16:creationId xmlns:a16="http://schemas.microsoft.com/office/drawing/2014/main" id="{BD38BFDA-9FDB-4189-AD2D-0420C662CF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171450</xdr:rowOff>
        </xdr:from>
        <xdr:to>
          <xdr:col>9</xdr:col>
          <xdr:colOff>0</xdr:colOff>
          <xdr:row>10</xdr:row>
          <xdr:rowOff>19050</xdr:rowOff>
        </xdr:to>
        <xdr:sp macro="" textlink="">
          <xdr:nvSpPr>
            <xdr:cNvPr id="19491" name="Check Box 35" hidden="1">
              <a:extLst>
                <a:ext uri="{63B3BB69-23CF-44E3-9099-C40C66FF867C}">
                  <a14:compatExt spid="_x0000_s19491"/>
                </a:ext>
                <a:ext uri="{FF2B5EF4-FFF2-40B4-BE49-F238E27FC236}">
                  <a16:creationId xmlns:a16="http://schemas.microsoft.com/office/drawing/2014/main" id="{78865BDF-1A9D-4549-8662-24D4DF63AD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171450</xdr:rowOff>
        </xdr:from>
        <xdr:to>
          <xdr:col>9</xdr:col>
          <xdr:colOff>0</xdr:colOff>
          <xdr:row>11</xdr:row>
          <xdr:rowOff>12700</xdr:rowOff>
        </xdr:to>
        <xdr:sp macro="" textlink="">
          <xdr:nvSpPr>
            <xdr:cNvPr id="19492" name="Check Box 36" hidden="1">
              <a:extLst>
                <a:ext uri="{63B3BB69-23CF-44E3-9099-C40C66FF867C}">
                  <a14:compatExt spid="_x0000_s19492"/>
                </a:ext>
                <a:ext uri="{FF2B5EF4-FFF2-40B4-BE49-F238E27FC236}">
                  <a16:creationId xmlns:a16="http://schemas.microsoft.com/office/drawing/2014/main" id="{C0FFBF56-1BD8-4264-82AD-28A9CB03D5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15</xdr:row>
          <xdr:rowOff>171450</xdr:rowOff>
        </xdr:from>
        <xdr:to>
          <xdr:col>9</xdr:col>
          <xdr:colOff>0</xdr:colOff>
          <xdr:row>17</xdr:row>
          <xdr:rowOff>6350</xdr:rowOff>
        </xdr:to>
        <xdr:sp macro="" textlink="">
          <xdr:nvSpPr>
            <xdr:cNvPr id="19498" name="Check Box 42" hidden="1">
              <a:extLst>
                <a:ext uri="{63B3BB69-23CF-44E3-9099-C40C66FF867C}">
                  <a14:compatExt spid="_x0000_s19498"/>
                </a:ext>
                <a:ext uri="{FF2B5EF4-FFF2-40B4-BE49-F238E27FC236}">
                  <a16:creationId xmlns:a16="http://schemas.microsoft.com/office/drawing/2014/main" id="{AF75B078-5570-417E-AE0E-347C174EBF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xdr:row>
          <xdr:rowOff>171450</xdr:rowOff>
        </xdr:from>
        <xdr:to>
          <xdr:col>9</xdr:col>
          <xdr:colOff>0</xdr:colOff>
          <xdr:row>18</xdr:row>
          <xdr:rowOff>12700</xdr:rowOff>
        </xdr:to>
        <xdr:sp macro="" textlink="">
          <xdr:nvSpPr>
            <xdr:cNvPr id="19499" name="Check Box 43" hidden="1">
              <a:extLst>
                <a:ext uri="{63B3BB69-23CF-44E3-9099-C40C66FF867C}">
                  <a14:compatExt spid="_x0000_s19499"/>
                </a:ext>
                <a:ext uri="{FF2B5EF4-FFF2-40B4-BE49-F238E27FC236}">
                  <a16:creationId xmlns:a16="http://schemas.microsoft.com/office/drawing/2014/main" id="{6480A760-C38E-40F7-856D-780C040ACF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17</xdr:row>
          <xdr:rowOff>171450</xdr:rowOff>
        </xdr:from>
        <xdr:to>
          <xdr:col>9</xdr:col>
          <xdr:colOff>0</xdr:colOff>
          <xdr:row>19</xdr:row>
          <xdr:rowOff>12700</xdr:rowOff>
        </xdr:to>
        <xdr:sp macro="" textlink="">
          <xdr:nvSpPr>
            <xdr:cNvPr id="19500" name="Check Box 44" hidden="1">
              <a:extLst>
                <a:ext uri="{63B3BB69-23CF-44E3-9099-C40C66FF867C}">
                  <a14:compatExt spid="_x0000_s19500"/>
                </a:ext>
                <a:ext uri="{FF2B5EF4-FFF2-40B4-BE49-F238E27FC236}">
                  <a16:creationId xmlns:a16="http://schemas.microsoft.com/office/drawing/2014/main" id="{72A67F8E-6E6D-4A37-B4E0-BA7B9C9F065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xdr:row>
          <xdr:rowOff>171450</xdr:rowOff>
        </xdr:from>
        <xdr:to>
          <xdr:col>9</xdr:col>
          <xdr:colOff>0</xdr:colOff>
          <xdr:row>20</xdr:row>
          <xdr:rowOff>12700</xdr:rowOff>
        </xdr:to>
        <xdr:sp macro="" textlink="">
          <xdr:nvSpPr>
            <xdr:cNvPr id="19501" name="Check Box 45" hidden="1">
              <a:extLst>
                <a:ext uri="{63B3BB69-23CF-44E3-9099-C40C66FF867C}">
                  <a14:compatExt spid="_x0000_s19501"/>
                </a:ext>
                <a:ext uri="{FF2B5EF4-FFF2-40B4-BE49-F238E27FC236}">
                  <a16:creationId xmlns:a16="http://schemas.microsoft.com/office/drawing/2014/main" id="{E753E4D5-8398-4EC6-AB98-EA3C16204AF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19</xdr:row>
          <xdr:rowOff>171450</xdr:rowOff>
        </xdr:from>
        <xdr:to>
          <xdr:col>9</xdr:col>
          <xdr:colOff>0</xdr:colOff>
          <xdr:row>21</xdr:row>
          <xdr:rowOff>19050</xdr:rowOff>
        </xdr:to>
        <xdr:sp macro="" textlink="">
          <xdr:nvSpPr>
            <xdr:cNvPr id="19502" name="Check Box 46" hidden="1">
              <a:extLst>
                <a:ext uri="{63B3BB69-23CF-44E3-9099-C40C66FF867C}">
                  <a14:compatExt spid="_x0000_s19502"/>
                </a:ext>
                <a:ext uri="{FF2B5EF4-FFF2-40B4-BE49-F238E27FC236}">
                  <a16:creationId xmlns:a16="http://schemas.microsoft.com/office/drawing/2014/main" id="{B58ED15C-F617-43AC-AA17-5274B32BB8C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171450</xdr:rowOff>
        </xdr:from>
        <xdr:to>
          <xdr:col>9</xdr:col>
          <xdr:colOff>0</xdr:colOff>
          <xdr:row>22</xdr:row>
          <xdr:rowOff>19050</xdr:rowOff>
        </xdr:to>
        <xdr:sp macro="" textlink="">
          <xdr:nvSpPr>
            <xdr:cNvPr id="19503" name="Check Box 47" hidden="1">
              <a:extLst>
                <a:ext uri="{63B3BB69-23CF-44E3-9099-C40C66FF867C}">
                  <a14:compatExt spid="_x0000_s19503"/>
                </a:ext>
                <a:ext uri="{FF2B5EF4-FFF2-40B4-BE49-F238E27FC236}">
                  <a16:creationId xmlns:a16="http://schemas.microsoft.com/office/drawing/2014/main" id="{2860AA23-1A2B-4606-AB12-E8F23C48C0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27</xdr:row>
          <xdr:rowOff>171450</xdr:rowOff>
        </xdr:from>
        <xdr:to>
          <xdr:col>9</xdr:col>
          <xdr:colOff>0</xdr:colOff>
          <xdr:row>29</xdr:row>
          <xdr:rowOff>12700</xdr:rowOff>
        </xdr:to>
        <xdr:sp macro="" textlink="">
          <xdr:nvSpPr>
            <xdr:cNvPr id="19507" name="Check Box 51" hidden="1">
              <a:extLst>
                <a:ext uri="{63B3BB69-23CF-44E3-9099-C40C66FF867C}">
                  <a14:compatExt spid="_x0000_s19507"/>
                </a:ext>
                <a:ext uri="{FF2B5EF4-FFF2-40B4-BE49-F238E27FC236}">
                  <a16:creationId xmlns:a16="http://schemas.microsoft.com/office/drawing/2014/main" id="{2759A853-1A82-43EF-B0FE-972405E3334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28</xdr:row>
          <xdr:rowOff>171450</xdr:rowOff>
        </xdr:from>
        <xdr:to>
          <xdr:col>9</xdr:col>
          <xdr:colOff>0</xdr:colOff>
          <xdr:row>30</xdr:row>
          <xdr:rowOff>19050</xdr:rowOff>
        </xdr:to>
        <xdr:sp macro="" textlink="">
          <xdr:nvSpPr>
            <xdr:cNvPr id="19508" name="Check Box 52" hidden="1">
              <a:extLst>
                <a:ext uri="{63B3BB69-23CF-44E3-9099-C40C66FF867C}">
                  <a14:compatExt spid="_x0000_s19508"/>
                </a:ext>
                <a:ext uri="{FF2B5EF4-FFF2-40B4-BE49-F238E27FC236}">
                  <a16:creationId xmlns:a16="http://schemas.microsoft.com/office/drawing/2014/main" id="{912121DC-95FE-4C3B-A76B-93B2B0FD79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29</xdr:row>
          <xdr:rowOff>171450</xdr:rowOff>
        </xdr:from>
        <xdr:to>
          <xdr:col>9</xdr:col>
          <xdr:colOff>0</xdr:colOff>
          <xdr:row>31</xdr:row>
          <xdr:rowOff>19050</xdr:rowOff>
        </xdr:to>
        <xdr:sp macro="" textlink="">
          <xdr:nvSpPr>
            <xdr:cNvPr id="19509" name="Check Box 53" hidden="1">
              <a:extLst>
                <a:ext uri="{63B3BB69-23CF-44E3-9099-C40C66FF867C}">
                  <a14:compatExt spid="_x0000_s19509"/>
                </a:ext>
                <a:ext uri="{FF2B5EF4-FFF2-40B4-BE49-F238E27FC236}">
                  <a16:creationId xmlns:a16="http://schemas.microsoft.com/office/drawing/2014/main" id="{9158EC1A-31C1-4A9F-8AA7-7065023254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30</xdr:row>
          <xdr:rowOff>171450</xdr:rowOff>
        </xdr:from>
        <xdr:to>
          <xdr:col>9</xdr:col>
          <xdr:colOff>0</xdr:colOff>
          <xdr:row>32</xdr:row>
          <xdr:rowOff>19050</xdr:rowOff>
        </xdr:to>
        <xdr:sp macro="" textlink="">
          <xdr:nvSpPr>
            <xdr:cNvPr id="19510" name="Check Box 54" hidden="1">
              <a:extLst>
                <a:ext uri="{63B3BB69-23CF-44E3-9099-C40C66FF867C}">
                  <a14:compatExt spid="_x0000_s19510"/>
                </a:ext>
                <a:ext uri="{FF2B5EF4-FFF2-40B4-BE49-F238E27FC236}">
                  <a16:creationId xmlns:a16="http://schemas.microsoft.com/office/drawing/2014/main" id="{BEC43BEA-ECCD-45B5-8ABE-54F98596BE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31</xdr:row>
          <xdr:rowOff>171450</xdr:rowOff>
        </xdr:from>
        <xdr:to>
          <xdr:col>9</xdr:col>
          <xdr:colOff>0</xdr:colOff>
          <xdr:row>33</xdr:row>
          <xdr:rowOff>12700</xdr:rowOff>
        </xdr:to>
        <xdr:sp macro="" textlink="">
          <xdr:nvSpPr>
            <xdr:cNvPr id="19511" name="Check Box 55" hidden="1">
              <a:extLst>
                <a:ext uri="{63B3BB69-23CF-44E3-9099-C40C66FF867C}">
                  <a14:compatExt spid="_x0000_s19511"/>
                </a:ext>
                <a:ext uri="{FF2B5EF4-FFF2-40B4-BE49-F238E27FC236}">
                  <a16:creationId xmlns:a16="http://schemas.microsoft.com/office/drawing/2014/main" id="{7276B0C2-72ED-4652-BB11-B09102F40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5</xdr:row>
          <xdr:rowOff>171450</xdr:rowOff>
        </xdr:from>
        <xdr:to>
          <xdr:col>13</xdr:col>
          <xdr:colOff>285750</xdr:colOff>
          <xdr:row>7</xdr:row>
          <xdr:rowOff>12700</xdr:rowOff>
        </xdr:to>
        <xdr:sp macro="" textlink="">
          <xdr:nvSpPr>
            <xdr:cNvPr id="19512" name="Check Box 56" hidden="1">
              <a:extLst>
                <a:ext uri="{63B3BB69-23CF-44E3-9099-C40C66FF867C}">
                  <a14:compatExt spid="_x0000_s19512"/>
                </a:ext>
                <a:ext uri="{FF2B5EF4-FFF2-40B4-BE49-F238E27FC236}">
                  <a16:creationId xmlns:a16="http://schemas.microsoft.com/office/drawing/2014/main" id="{D43D1985-C3ED-4525-B129-D0600D3FEA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6</xdr:row>
          <xdr:rowOff>171450</xdr:rowOff>
        </xdr:from>
        <xdr:to>
          <xdr:col>13</xdr:col>
          <xdr:colOff>285750</xdr:colOff>
          <xdr:row>8</xdr:row>
          <xdr:rowOff>19050</xdr:rowOff>
        </xdr:to>
        <xdr:sp macro="" textlink="">
          <xdr:nvSpPr>
            <xdr:cNvPr id="19513" name="Check Box 57" hidden="1">
              <a:extLst>
                <a:ext uri="{63B3BB69-23CF-44E3-9099-C40C66FF867C}">
                  <a14:compatExt spid="_x0000_s19513"/>
                </a:ext>
                <a:ext uri="{FF2B5EF4-FFF2-40B4-BE49-F238E27FC236}">
                  <a16:creationId xmlns:a16="http://schemas.microsoft.com/office/drawing/2014/main" id="{08EAB353-506E-4F55-8F39-D29345955F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7</xdr:row>
          <xdr:rowOff>171450</xdr:rowOff>
        </xdr:from>
        <xdr:to>
          <xdr:col>13</xdr:col>
          <xdr:colOff>285750</xdr:colOff>
          <xdr:row>9</xdr:row>
          <xdr:rowOff>19050</xdr:rowOff>
        </xdr:to>
        <xdr:sp macro="" textlink="">
          <xdr:nvSpPr>
            <xdr:cNvPr id="19514" name="Check Box 58" hidden="1">
              <a:extLst>
                <a:ext uri="{63B3BB69-23CF-44E3-9099-C40C66FF867C}">
                  <a14:compatExt spid="_x0000_s19514"/>
                </a:ext>
                <a:ext uri="{FF2B5EF4-FFF2-40B4-BE49-F238E27FC236}">
                  <a16:creationId xmlns:a16="http://schemas.microsoft.com/office/drawing/2014/main" id="{9F2953AE-B0EA-4030-9D8F-813B6CDB71F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8</xdr:row>
          <xdr:rowOff>171450</xdr:rowOff>
        </xdr:from>
        <xdr:to>
          <xdr:col>13</xdr:col>
          <xdr:colOff>285750</xdr:colOff>
          <xdr:row>10</xdr:row>
          <xdr:rowOff>19050</xdr:rowOff>
        </xdr:to>
        <xdr:sp macro="" textlink="">
          <xdr:nvSpPr>
            <xdr:cNvPr id="19515" name="Check Box 59" hidden="1">
              <a:extLst>
                <a:ext uri="{63B3BB69-23CF-44E3-9099-C40C66FF867C}">
                  <a14:compatExt spid="_x0000_s19515"/>
                </a:ext>
                <a:ext uri="{FF2B5EF4-FFF2-40B4-BE49-F238E27FC236}">
                  <a16:creationId xmlns:a16="http://schemas.microsoft.com/office/drawing/2014/main" id="{E01C77FB-E4DA-4353-B261-E1CD50CE30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9</xdr:row>
          <xdr:rowOff>171450</xdr:rowOff>
        </xdr:from>
        <xdr:to>
          <xdr:col>13</xdr:col>
          <xdr:colOff>285750</xdr:colOff>
          <xdr:row>11</xdr:row>
          <xdr:rowOff>12700</xdr:rowOff>
        </xdr:to>
        <xdr:sp macro="" textlink="">
          <xdr:nvSpPr>
            <xdr:cNvPr id="19516" name="Check Box 60" hidden="1">
              <a:extLst>
                <a:ext uri="{63B3BB69-23CF-44E3-9099-C40C66FF867C}">
                  <a14:compatExt spid="_x0000_s19516"/>
                </a:ext>
                <a:ext uri="{FF2B5EF4-FFF2-40B4-BE49-F238E27FC236}">
                  <a16:creationId xmlns:a16="http://schemas.microsoft.com/office/drawing/2014/main" id="{940AA274-E66D-453D-A6AC-998ABD6C0BE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10</xdr:row>
          <xdr:rowOff>171450</xdr:rowOff>
        </xdr:from>
        <xdr:to>
          <xdr:col>13</xdr:col>
          <xdr:colOff>285750</xdr:colOff>
          <xdr:row>12</xdr:row>
          <xdr:rowOff>6350</xdr:rowOff>
        </xdr:to>
        <xdr:sp macro="" textlink="">
          <xdr:nvSpPr>
            <xdr:cNvPr id="19517" name="Check Box 61" hidden="1">
              <a:extLst>
                <a:ext uri="{63B3BB69-23CF-44E3-9099-C40C66FF867C}">
                  <a14:compatExt spid="_x0000_s19517"/>
                </a:ext>
                <a:ext uri="{FF2B5EF4-FFF2-40B4-BE49-F238E27FC236}">
                  <a16:creationId xmlns:a16="http://schemas.microsoft.com/office/drawing/2014/main" id="{2B68FCBF-6234-46E6-B6BB-4478678E20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11</xdr:row>
          <xdr:rowOff>171450</xdr:rowOff>
        </xdr:from>
        <xdr:to>
          <xdr:col>13</xdr:col>
          <xdr:colOff>285750</xdr:colOff>
          <xdr:row>13</xdr:row>
          <xdr:rowOff>6350</xdr:rowOff>
        </xdr:to>
        <xdr:sp macro="" textlink="">
          <xdr:nvSpPr>
            <xdr:cNvPr id="19518" name="Check Box 62" hidden="1">
              <a:extLst>
                <a:ext uri="{63B3BB69-23CF-44E3-9099-C40C66FF867C}">
                  <a14:compatExt spid="_x0000_s19518"/>
                </a:ext>
                <a:ext uri="{FF2B5EF4-FFF2-40B4-BE49-F238E27FC236}">
                  <a16:creationId xmlns:a16="http://schemas.microsoft.com/office/drawing/2014/main" id="{F43800E0-D082-4F8E-917A-83970CCC83E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xdr:row>
          <xdr:rowOff>177800</xdr:rowOff>
        </xdr:from>
        <xdr:to>
          <xdr:col>13</xdr:col>
          <xdr:colOff>285750</xdr:colOff>
          <xdr:row>4</xdr:row>
          <xdr:rowOff>12700</xdr:rowOff>
        </xdr:to>
        <xdr:sp macro="" textlink="">
          <xdr:nvSpPr>
            <xdr:cNvPr id="19519" name="Check Box 63" hidden="1">
              <a:extLst>
                <a:ext uri="{63B3BB69-23CF-44E3-9099-C40C66FF867C}">
                  <a14:compatExt spid="_x0000_s19519"/>
                </a:ext>
                <a:ext uri="{FF2B5EF4-FFF2-40B4-BE49-F238E27FC236}">
                  <a16:creationId xmlns:a16="http://schemas.microsoft.com/office/drawing/2014/main" id="{B75A5625-419E-4368-BF8F-A9165C2440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xdr:row>
          <xdr:rowOff>177800</xdr:rowOff>
        </xdr:from>
        <xdr:to>
          <xdr:col>13</xdr:col>
          <xdr:colOff>285750</xdr:colOff>
          <xdr:row>5</xdr:row>
          <xdr:rowOff>19050</xdr:rowOff>
        </xdr:to>
        <xdr:sp macro="" textlink="">
          <xdr:nvSpPr>
            <xdr:cNvPr id="19520" name="Check Box 64" hidden="1">
              <a:extLst>
                <a:ext uri="{63B3BB69-23CF-44E3-9099-C40C66FF867C}">
                  <a14:compatExt spid="_x0000_s19520"/>
                </a:ext>
                <a:ext uri="{FF2B5EF4-FFF2-40B4-BE49-F238E27FC236}">
                  <a16:creationId xmlns:a16="http://schemas.microsoft.com/office/drawing/2014/main" id="{D62BAF12-2504-41A1-9DB9-3A9AD03BDA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xdr:row>
          <xdr:rowOff>177800</xdr:rowOff>
        </xdr:from>
        <xdr:to>
          <xdr:col>13</xdr:col>
          <xdr:colOff>285750</xdr:colOff>
          <xdr:row>6</xdr:row>
          <xdr:rowOff>19050</xdr:rowOff>
        </xdr:to>
        <xdr:sp macro="" textlink="">
          <xdr:nvSpPr>
            <xdr:cNvPr id="19521" name="Check Box 65" hidden="1">
              <a:extLst>
                <a:ext uri="{63B3BB69-23CF-44E3-9099-C40C66FF867C}">
                  <a14:compatExt spid="_x0000_s19521"/>
                </a:ext>
                <a:ext uri="{FF2B5EF4-FFF2-40B4-BE49-F238E27FC236}">
                  <a16:creationId xmlns:a16="http://schemas.microsoft.com/office/drawing/2014/main" id="{9BEB5ABC-E131-4441-96C3-565CDE6DD8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18</xdr:row>
          <xdr:rowOff>171450</xdr:rowOff>
        </xdr:from>
        <xdr:to>
          <xdr:col>13</xdr:col>
          <xdr:colOff>285750</xdr:colOff>
          <xdr:row>20</xdr:row>
          <xdr:rowOff>12700</xdr:rowOff>
        </xdr:to>
        <xdr:sp macro="" textlink="">
          <xdr:nvSpPr>
            <xdr:cNvPr id="19525" name="Check Box 69" hidden="1">
              <a:extLst>
                <a:ext uri="{63B3BB69-23CF-44E3-9099-C40C66FF867C}">
                  <a14:compatExt spid="_x0000_s19525"/>
                </a:ext>
                <a:ext uri="{FF2B5EF4-FFF2-40B4-BE49-F238E27FC236}">
                  <a16:creationId xmlns:a16="http://schemas.microsoft.com/office/drawing/2014/main" id="{63BEDD6F-2BC1-47F6-814D-E43BB56165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19</xdr:row>
          <xdr:rowOff>171450</xdr:rowOff>
        </xdr:from>
        <xdr:to>
          <xdr:col>13</xdr:col>
          <xdr:colOff>285750</xdr:colOff>
          <xdr:row>21</xdr:row>
          <xdr:rowOff>19050</xdr:rowOff>
        </xdr:to>
        <xdr:sp macro="" textlink="">
          <xdr:nvSpPr>
            <xdr:cNvPr id="19526" name="Check Box 70" hidden="1">
              <a:extLst>
                <a:ext uri="{63B3BB69-23CF-44E3-9099-C40C66FF867C}">
                  <a14:compatExt spid="_x0000_s19526"/>
                </a:ext>
                <a:ext uri="{FF2B5EF4-FFF2-40B4-BE49-F238E27FC236}">
                  <a16:creationId xmlns:a16="http://schemas.microsoft.com/office/drawing/2014/main" id="{A1E314B0-0B31-4DD0-B459-84A8CAF12C7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20</xdr:row>
          <xdr:rowOff>171450</xdr:rowOff>
        </xdr:from>
        <xdr:to>
          <xdr:col>13</xdr:col>
          <xdr:colOff>285750</xdr:colOff>
          <xdr:row>22</xdr:row>
          <xdr:rowOff>19050</xdr:rowOff>
        </xdr:to>
        <xdr:sp macro="" textlink="">
          <xdr:nvSpPr>
            <xdr:cNvPr id="19527" name="Check Box 71" hidden="1">
              <a:extLst>
                <a:ext uri="{63B3BB69-23CF-44E3-9099-C40C66FF867C}">
                  <a14:compatExt spid="_x0000_s19527"/>
                </a:ext>
                <a:ext uri="{FF2B5EF4-FFF2-40B4-BE49-F238E27FC236}">
                  <a16:creationId xmlns:a16="http://schemas.microsoft.com/office/drawing/2014/main" id="{A5BD05B1-E316-461B-9DAD-88D18B20E9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21</xdr:row>
          <xdr:rowOff>171450</xdr:rowOff>
        </xdr:from>
        <xdr:to>
          <xdr:col>13</xdr:col>
          <xdr:colOff>285750</xdr:colOff>
          <xdr:row>23</xdr:row>
          <xdr:rowOff>19050</xdr:rowOff>
        </xdr:to>
        <xdr:sp macro="" textlink="">
          <xdr:nvSpPr>
            <xdr:cNvPr id="19528" name="Check Box 72" hidden="1">
              <a:extLst>
                <a:ext uri="{63B3BB69-23CF-44E3-9099-C40C66FF867C}">
                  <a14:compatExt spid="_x0000_s19528"/>
                </a:ext>
                <a:ext uri="{FF2B5EF4-FFF2-40B4-BE49-F238E27FC236}">
                  <a16:creationId xmlns:a16="http://schemas.microsoft.com/office/drawing/2014/main" id="{C3D47B40-B526-458D-900C-8D58C7A637C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22</xdr:row>
          <xdr:rowOff>171450</xdr:rowOff>
        </xdr:from>
        <xdr:to>
          <xdr:col>13</xdr:col>
          <xdr:colOff>285750</xdr:colOff>
          <xdr:row>24</xdr:row>
          <xdr:rowOff>19050</xdr:rowOff>
        </xdr:to>
        <xdr:sp macro="" textlink="">
          <xdr:nvSpPr>
            <xdr:cNvPr id="19529" name="Check Box 73" hidden="1">
              <a:extLst>
                <a:ext uri="{63B3BB69-23CF-44E3-9099-C40C66FF867C}">
                  <a14:compatExt spid="_x0000_s19529"/>
                </a:ext>
                <a:ext uri="{FF2B5EF4-FFF2-40B4-BE49-F238E27FC236}">
                  <a16:creationId xmlns:a16="http://schemas.microsoft.com/office/drawing/2014/main" id="{6A03ED56-6FC3-4DC1-956C-05A8CCFD8B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23</xdr:row>
          <xdr:rowOff>171450</xdr:rowOff>
        </xdr:from>
        <xdr:to>
          <xdr:col>13</xdr:col>
          <xdr:colOff>285750</xdr:colOff>
          <xdr:row>25</xdr:row>
          <xdr:rowOff>12700</xdr:rowOff>
        </xdr:to>
        <xdr:sp macro="" textlink="">
          <xdr:nvSpPr>
            <xdr:cNvPr id="19530" name="Check Box 74" hidden="1">
              <a:extLst>
                <a:ext uri="{63B3BB69-23CF-44E3-9099-C40C66FF867C}">
                  <a14:compatExt spid="_x0000_s19530"/>
                </a:ext>
                <a:ext uri="{FF2B5EF4-FFF2-40B4-BE49-F238E27FC236}">
                  <a16:creationId xmlns:a16="http://schemas.microsoft.com/office/drawing/2014/main" id="{3213093B-2FFA-4BF4-BA93-2509624A142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24</xdr:row>
          <xdr:rowOff>171450</xdr:rowOff>
        </xdr:from>
        <xdr:to>
          <xdr:col>13</xdr:col>
          <xdr:colOff>285750</xdr:colOff>
          <xdr:row>26</xdr:row>
          <xdr:rowOff>6350</xdr:rowOff>
        </xdr:to>
        <xdr:sp macro="" textlink="">
          <xdr:nvSpPr>
            <xdr:cNvPr id="19531" name="Check Box 75" hidden="1">
              <a:extLst>
                <a:ext uri="{63B3BB69-23CF-44E3-9099-C40C66FF867C}">
                  <a14:compatExt spid="_x0000_s19531"/>
                </a:ext>
                <a:ext uri="{FF2B5EF4-FFF2-40B4-BE49-F238E27FC236}">
                  <a16:creationId xmlns:a16="http://schemas.microsoft.com/office/drawing/2014/main" id="{9627DAA5-7232-4F8A-A461-41954240A27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25</xdr:row>
          <xdr:rowOff>171450</xdr:rowOff>
        </xdr:from>
        <xdr:to>
          <xdr:col>13</xdr:col>
          <xdr:colOff>285750</xdr:colOff>
          <xdr:row>27</xdr:row>
          <xdr:rowOff>12700</xdr:rowOff>
        </xdr:to>
        <xdr:sp macro="" textlink="">
          <xdr:nvSpPr>
            <xdr:cNvPr id="19532" name="Check Box 76" hidden="1">
              <a:extLst>
                <a:ext uri="{63B3BB69-23CF-44E3-9099-C40C66FF867C}">
                  <a14:compatExt spid="_x0000_s19532"/>
                </a:ext>
                <a:ext uri="{FF2B5EF4-FFF2-40B4-BE49-F238E27FC236}">
                  <a16:creationId xmlns:a16="http://schemas.microsoft.com/office/drawing/2014/main" id="{349B3773-F1CA-4D85-A71B-59C23CA5A5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26</xdr:row>
          <xdr:rowOff>171450</xdr:rowOff>
        </xdr:from>
        <xdr:to>
          <xdr:col>13</xdr:col>
          <xdr:colOff>285750</xdr:colOff>
          <xdr:row>28</xdr:row>
          <xdr:rowOff>12700</xdr:rowOff>
        </xdr:to>
        <xdr:sp macro="" textlink="">
          <xdr:nvSpPr>
            <xdr:cNvPr id="19533" name="Check Box 77" hidden="1">
              <a:extLst>
                <a:ext uri="{63B3BB69-23CF-44E3-9099-C40C66FF867C}">
                  <a14:compatExt spid="_x0000_s19533"/>
                </a:ext>
                <a:ext uri="{FF2B5EF4-FFF2-40B4-BE49-F238E27FC236}">
                  <a16:creationId xmlns:a16="http://schemas.microsoft.com/office/drawing/2014/main" id="{42C297C3-1E3B-418B-9F5A-DA18ADBFDB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27</xdr:row>
          <xdr:rowOff>171450</xdr:rowOff>
        </xdr:from>
        <xdr:to>
          <xdr:col>13</xdr:col>
          <xdr:colOff>285750</xdr:colOff>
          <xdr:row>29</xdr:row>
          <xdr:rowOff>12700</xdr:rowOff>
        </xdr:to>
        <xdr:sp macro="" textlink="">
          <xdr:nvSpPr>
            <xdr:cNvPr id="19534" name="Check Box 78" hidden="1">
              <a:extLst>
                <a:ext uri="{63B3BB69-23CF-44E3-9099-C40C66FF867C}">
                  <a14:compatExt spid="_x0000_s19534"/>
                </a:ext>
                <a:ext uri="{FF2B5EF4-FFF2-40B4-BE49-F238E27FC236}">
                  <a16:creationId xmlns:a16="http://schemas.microsoft.com/office/drawing/2014/main" id="{27620A62-B67E-4CF4-8CC9-D65C5430D2C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28</xdr:row>
          <xdr:rowOff>171450</xdr:rowOff>
        </xdr:from>
        <xdr:to>
          <xdr:col>13</xdr:col>
          <xdr:colOff>285750</xdr:colOff>
          <xdr:row>30</xdr:row>
          <xdr:rowOff>19050</xdr:rowOff>
        </xdr:to>
        <xdr:sp macro="" textlink="">
          <xdr:nvSpPr>
            <xdr:cNvPr id="19535" name="Check Box 79" hidden="1">
              <a:extLst>
                <a:ext uri="{63B3BB69-23CF-44E3-9099-C40C66FF867C}">
                  <a14:compatExt spid="_x0000_s19535"/>
                </a:ext>
                <a:ext uri="{FF2B5EF4-FFF2-40B4-BE49-F238E27FC236}">
                  <a16:creationId xmlns:a16="http://schemas.microsoft.com/office/drawing/2014/main" id="{9C09FCB1-3309-4EAA-9DF5-2BE60DB191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29</xdr:row>
          <xdr:rowOff>171450</xdr:rowOff>
        </xdr:from>
        <xdr:to>
          <xdr:col>13</xdr:col>
          <xdr:colOff>285750</xdr:colOff>
          <xdr:row>31</xdr:row>
          <xdr:rowOff>19050</xdr:rowOff>
        </xdr:to>
        <xdr:sp macro="" textlink="">
          <xdr:nvSpPr>
            <xdr:cNvPr id="19536" name="Check Box 80" hidden="1">
              <a:extLst>
                <a:ext uri="{63B3BB69-23CF-44E3-9099-C40C66FF867C}">
                  <a14:compatExt spid="_x0000_s19536"/>
                </a:ext>
                <a:ext uri="{FF2B5EF4-FFF2-40B4-BE49-F238E27FC236}">
                  <a16:creationId xmlns:a16="http://schemas.microsoft.com/office/drawing/2014/main" id="{D6AE30CB-D79F-4668-A6B0-E32EB551F5E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30</xdr:row>
          <xdr:rowOff>171450</xdr:rowOff>
        </xdr:from>
        <xdr:to>
          <xdr:col>13</xdr:col>
          <xdr:colOff>285750</xdr:colOff>
          <xdr:row>32</xdr:row>
          <xdr:rowOff>19050</xdr:rowOff>
        </xdr:to>
        <xdr:sp macro="" textlink="">
          <xdr:nvSpPr>
            <xdr:cNvPr id="19537" name="Check Box 81" hidden="1">
              <a:extLst>
                <a:ext uri="{63B3BB69-23CF-44E3-9099-C40C66FF867C}">
                  <a14:compatExt spid="_x0000_s19537"/>
                </a:ext>
                <a:ext uri="{FF2B5EF4-FFF2-40B4-BE49-F238E27FC236}">
                  <a16:creationId xmlns:a16="http://schemas.microsoft.com/office/drawing/2014/main" id="{05E7108C-3BE9-41C4-B4CA-6DB0D3ED6AD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31</xdr:row>
          <xdr:rowOff>171450</xdr:rowOff>
        </xdr:from>
        <xdr:to>
          <xdr:col>13</xdr:col>
          <xdr:colOff>285750</xdr:colOff>
          <xdr:row>33</xdr:row>
          <xdr:rowOff>12700</xdr:rowOff>
        </xdr:to>
        <xdr:sp macro="" textlink="">
          <xdr:nvSpPr>
            <xdr:cNvPr id="19538" name="Check Box 82" hidden="1">
              <a:extLst>
                <a:ext uri="{63B3BB69-23CF-44E3-9099-C40C66FF867C}">
                  <a14:compatExt spid="_x0000_s19538"/>
                </a:ext>
                <a:ext uri="{FF2B5EF4-FFF2-40B4-BE49-F238E27FC236}">
                  <a16:creationId xmlns:a16="http://schemas.microsoft.com/office/drawing/2014/main" id="{E1D24421-C432-46BC-A4AD-8532C54CBF4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14</xdr:row>
          <xdr:rowOff>171450</xdr:rowOff>
        </xdr:from>
        <xdr:to>
          <xdr:col>9</xdr:col>
          <xdr:colOff>0</xdr:colOff>
          <xdr:row>16</xdr:row>
          <xdr:rowOff>12700</xdr:rowOff>
        </xdr:to>
        <xdr:sp macro="" textlink="">
          <xdr:nvSpPr>
            <xdr:cNvPr id="19572" name="Check Box 116" hidden="1">
              <a:extLst>
                <a:ext uri="{63B3BB69-23CF-44E3-9099-C40C66FF867C}">
                  <a14:compatExt spid="_x0000_s19572"/>
                </a:ext>
                <a:ext uri="{FF2B5EF4-FFF2-40B4-BE49-F238E27FC236}">
                  <a16:creationId xmlns:a16="http://schemas.microsoft.com/office/drawing/2014/main" id="{46113A53-556F-CD9D-BA7A-07EE98E5334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13</xdr:row>
          <xdr:rowOff>184150</xdr:rowOff>
        </xdr:from>
        <xdr:to>
          <xdr:col>9</xdr:col>
          <xdr:colOff>0</xdr:colOff>
          <xdr:row>15</xdr:row>
          <xdr:rowOff>25400</xdr:rowOff>
        </xdr:to>
        <xdr:sp macro="" textlink="">
          <xdr:nvSpPr>
            <xdr:cNvPr id="19573" name="Check Box 117" hidden="1">
              <a:extLst>
                <a:ext uri="{63B3BB69-23CF-44E3-9099-C40C66FF867C}">
                  <a14:compatExt spid="_x0000_s19573"/>
                </a:ext>
                <a:ext uri="{FF2B5EF4-FFF2-40B4-BE49-F238E27FC236}">
                  <a16:creationId xmlns:a16="http://schemas.microsoft.com/office/drawing/2014/main" id="{8520EFE1-4056-AC22-14AD-34DD3E35F00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21</xdr:row>
          <xdr:rowOff>171450</xdr:rowOff>
        </xdr:from>
        <xdr:to>
          <xdr:col>9</xdr:col>
          <xdr:colOff>0</xdr:colOff>
          <xdr:row>23</xdr:row>
          <xdr:rowOff>19050</xdr:rowOff>
        </xdr:to>
        <xdr:sp macro="" textlink="">
          <xdr:nvSpPr>
            <xdr:cNvPr id="19627" name="Check Box 171" hidden="1">
              <a:extLst>
                <a:ext uri="{63B3BB69-23CF-44E3-9099-C40C66FF867C}">
                  <a14:compatExt spid="_x0000_s19627"/>
                </a:ext>
                <a:ext uri="{FF2B5EF4-FFF2-40B4-BE49-F238E27FC236}">
                  <a16:creationId xmlns:a16="http://schemas.microsoft.com/office/drawing/2014/main" id="{EC00CB06-2B54-46B1-9825-C6A82DF6256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22</xdr:row>
          <xdr:rowOff>171450</xdr:rowOff>
        </xdr:from>
        <xdr:to>
          <xdr:col>9</xdr:col>
          <xdr:colOff>0</xdr:colOff>
          <xdr:row>24</xdr:row>
          <xdr:rowOff>19050</xdr:rowOff>
        </xdr:to>
        <xdr:sp macro="" textlink="">
          <xdr:nvSpPr>
            <xdr:cNvPr id="19628" name="Check Box 172" hidden="1">
              <a:extLst>
                <a:ext uri="{63B3BB69-23CF-44E3-9099-C40C66FF867C}">
                  <a14:compatExt spid="_x0000_s19628"/>
                </a:ext>
                <a:ext uri="{FF2B5EF4-FFF2-40B4-BE49-F238E27FC236}">
                  <a16:creationId xmlns:a16="http://schemas.microsoft.com/office/drawing/2014/main" id="{F6EEDCC6-5B20-4DE9-A50F-02B00C08ECE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23</xdr:row>
          <xdr:rowOff>171450</xdr:rowOff>
        </xdr:from>
        <xdr:to>
          <xdr:col>9</xdr:col>
          <xdr:colOff>0</xdr:colOff>
          <xdr:row>25</xdr:row>
          <xdr:rowOff>12700</xdr:rowOff>
        </xdr:to>
        <xdr:sp macro="" textlink="">
          <xdr:nvSpPr>
            <xdr:cNvPr id="19629" name="Check Box 173" hidden="1">
              <a:extLst>
                <a:ext uri="{63B3BB69-23CF-44E3-9099-C40C66FF867C}">
                  <a14:compatExt spid="_x0000_s19629"/>
                </a:ext>
                <a:ext uri="{FF2B5EF4-FFF2-40B4-BE49-F238E27FC236}">
                  <a16:creationId xmlns:a16="http://schemas.microsoft.com/office/drawing/2014/main" id="{A87C8C92-C929-46C1-8F28-05EB3B43212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12</xdr:row>
          <xdr:rowOff>177800</xdr:rowOff>
        </xdr:from>
        <xdr:to>
          <xdr:col>13</xdr:col>
          <xdr:colOff>292100</xdr:colOff>
          <xdr:row>14</xdr:row>
          <xdr:rowOff>12700</xdr:rowOff>
        </xdr:to>
        <xdr:sp macro="" textlink="">
          <xdr:nvSpPr>
            <xdr:cNvPr id="19630" name="Check Box 174" hidden="1">
              <a:extLst>
                <a:ext uri="{63B3BB69-23CF-44E3-9099-C40C66FF867C}">
                  <a14:compatExt spid="_x0000_s19630"/>
                </a:ext>
                <a:ext uri="{FF2B5EF4-FFF2-40B4-BE49-F238E27FC236}">
                  <a16:creationId xmlns:a16="http://schemas.microsoft.com/office/drawing/2014/main" id="{863734B3-669E-14CC-849D-2B4F2485ACF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13</xdr:row>
          <xdr:rowOff>177800</xdr:rowOff>
        </xdr:from>
        <xdr:to>
          <xdr:col>13</xdr:col>
          <xdr:colOff>292100</xdr:colOff>
          <xdr:row>15</xdr:row>
          <xdr:rowOff>19050</xdr:rowOff>
        </xdr:to>
        <xdr:sp macro="" textlink="">
          <xdr:nvSpPr>
            <xdr:cNvPr id="19631" name="Check Box 175" hidden="1">
              <a:extLst>
                <a:ext uri="{63B3BB69-23CF-44E3-9099-C40C66FF867C}">
                  <a14:compatExt spid="_x0000_s19631"/>
                </a:ext>
                <a:ext uri="{FF2B5EF4-FFF2-40B4-BE49-F238E27FC236}">
                  <a16:creationId xmlns:a16="http://schemas.microsoft.com/office/drawing/2014/main" id="{9F5ECF89-39F4-B5E3-9474-BF0B870D0A0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6350</xdr:colOff>
          <xdr:row>14</xdr:row>
          <xdr:rowOff>171450</xdr:rowOff>
        </xdr:from>
        <xdr:to>
          <xdr:col>13</xdr:col>
          <xdr:colOff>292100</xdr:colOff>
          <xdr:row>16</xdr:row>
          <xdr:rowOff>12700</xdr:rowOff>
        </xdr:to>
        <xdr:sp macro="" textlink="">
          <xdr:nvSpPr>
            <xdr:cNvPr id="19632" name="Check Box 176" hidden="1">
              <a:extLst>
                <a:ext uri="{63B3BB69-23CF-44E3-9099-C40C66FF867C}">
                  <a14:compatExt spid="_x0000_s19632"/>
                </a:ext>
                <a:ext uri="{FF2B5EF4-FFF2-40B4-BE49-F238E27FC236}">
                  <a16:creationId xmlns:a16="http://schemas.microsoft.com/office/drawing/2014/main" id="{10FB7206-0873-B268-10B2-6848F21D54F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urope%20Trip%20Budg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cations"/>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0E5F07-BB2A-4C51-A6A6-6B5D45AC007F}" name="Table2" displayName="Table2" ref="B8:I108" totalsRowShown="0" headerRowDxfId="14" headerRowBorderDxfId="12" tableBorderDxfId="13">
  <autoFilter ref="B8:I108" xr:uid="{1F0E5F07-BB2A-4C51-A6A6-6B5D45AC007F}"/>
  <tableColumns count="8">
    <tableColumn id="1" xr3:uid="{F5FD84C2-0BAB-47EF-89CC-E7A86A01E022}" name="Date" dataDxfId="11">
      <calculatedColumnFormula>B8+1</calculatedColumnFormula>
    </tableColumn>
    <tableColumn id="2" xr3:uid="{73DBF4E1-3958-4D44-BD6D-0BD5A0F9AEE3}" name="Location" dataDxfId="10">
      <calculatedColumnFormula>VLOOKUP(B9,'Trip Dreaming'!$K$6:$M$30,3,TRUE)</calculatedColumnFormula>
    </tableColumn>
    <tableColumn id="3" xr3:uid="{D4FA654F-DCF9-4792-90A4-4EBDAF016B53}" name="Accomodation" dataDxfId="9">
      <calculatedColumnFormula>IF(VLOOKUP(B9,Accomodations!$B$7:$F$31,5,TRUE)=0," ",VLOOKUP(B9,Accomodations!$B$7:$F$31,5,TRUE))</calculatedColumnFormula>
    </tableColumn>
    <tableColumn id="4" xr3:uid="{AD1FE3EC-32A0-42BB-87C1-FF9A258E046F}" name="Traveling?" dataDxfId="8"/>
    <tableColumn id="5" xr3:uid="{BA84FF70-8E19-43D8-A469-DA71C453FA53}" name="Travel Plan" dataDxfId="7"/>
    <tableColumn id="6" xr3:uid="{E39C4AB0-D5F1-4FC2-B014-CCF525D39A10}" name="Day Plan/Activities" dataDxfId="6"/>
    <tableColumn id="7" xr3:uid="{DAE3DC39-DC6C-4952-9EBD-37DA8AE97A21}" name="Today's Budget" dataDxfId="5"/>
    <tableColumn id="8" xr3:uid="{9F385609-CD19-4319-94B1-0E2D6DA9E6CF}" name="Notes" dataDxfId="4"/>
  </tableColumns>
  <tableStyleInfo name="TableStyleLight11" showFirstColumn="0" showLastColumn="0" showRowStripes="1" showColumnStripes="0"/>
</table>
</file>

<file path=xl/theme/theme1.xml><?xml version="1.0" encoding="utf-8"?>
<a:theme xmlns:a="http://schemas.openxmlformats.org/drawingml/2006/main" name="Hayley's Theme">
  <a:themeElements>
    <a:clrScheme name="Hayleley">
      <a:dk1>
        <a:sysClr val="windowText" lastClr="000000"/>
      </a:dk1>
      <a:lt1>
        <a:sysClr val="window" lastClr="FFFFFF"/>
      </a:lt1>
      <a:dk2>
        <a:srgbClr val="345123"/>
      </a:dk2>
      <a:lt2>
        <a:srgbClr val="F8FFC7"/>
      </a:lt2>
      <a:accent1>
        <a:srgbClr val="C786ED"/>
      </a:accent1>
      <a:accent2>
        <a:srgbClr val="EEFF70"/>
      </a:accent2>
      <a:accent3>
        <a:srgbClr val="EEDEC9"/>
      </a:accent3>
      <a:accent4>
        <a:srgbClr val="D9B7ED"/>
      </a:accent4>
      <a:accent5>
        <a:srgbClr val="667C59"/>
      </a:accent5>
      <a:accent6>
        <a:srgbClr val="778038"/>
      </a:accent6>
      <a:hlink>
        <a:srgbClr val="D9B7ED"/>
      </a:hlink>
      <a:folHlink>
        <a:srgbClr val="C786E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5.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8.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5.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B95F6-EEF2-41AC-8A23-56047FDC1B30}">
  <sheetPr codeName="Sheet2">
    <tabColor theme="1"/>
  </sheetPr>
  <dimension ref="A1:V34"/>
  <sheetViews>
    <sheetView zoomScaleNormal="100" workbookViewId="0">
      <selection activeCell="U17" sqref="U17"/>
    </sheetView>
  </sheetViews>
  <sheetFormatPr defaultRowHeight="14.45"/>
  <cols>
    <col min="22" max="22" width="15.140625" customWidth="1"/>
  </cols>
  <sheetData>
    <row r="1" spans="1:22" ht="74.099999999999994" customHeight="1">
      <c r="A1" s="251" t="s">
        <v>0</v>
      </c>
      <c r="B1" s="251"/>
      <c r="C1" s="251"/>
      <c r="D1" s="251"/>
      <c r="E1" s="251"/>
      <c r="F1" s="251"/>
      <c r="G1" s="251"/>
      <c r="H1" s="251"/>
      <c r="I1" s="251"/>
      <c r="J1" s="251"/>
      <c r="K1" s="251"/>
      <c r="L1" s="251"/>
      <c r="M1" s="251"/>
      <c r="N1" s="251"/>
      <c r="O1" s="251"/>
      <c r="P1" s="251"/>
      <c r="Q1" s="251"/>
      <c r="R1" s="251"/>
      <c r="S1" s="251"/>
      <c r="T1" s="251"/>
      <c r="U1" s="251"/>
      <c r="V1" s="251"/>
    </row>
    <row r="2" spans="1:22" s="1" customFormat="1">
      <c r="A2" s="252" t="s">
        <v>1</v>
      </c>
      <c r="B2" s="252"/>
      <c r="C2" s="252"/>
      <c r="D2" s="252"/>
      <c r="E2" s="252"/>
      <c r="F2" s="252"/>
      <c r="G2" s="252"/>
      <c r="H2" s="252"/>
      <c r="I2" s="252"/>
      <c r="J2" s="252"/>
      <c r="K2" s="252"/>
      <c r="L2" s="252"/>
      <c r="M2" s="252"/>
      <c r="N2" s="252"/>
      <c r="O2" s="252"/>
      <c r="P2" s="252"/>
      <c r="Q2" s="252"/>
      <c r="R2" s="252"/>
      <c r="S2" s="252"/>
      <c r="T2" s="252"/>
      <c r="U2" s="252"/>
      <c r="V2" s="252"/>
    </row>
    <row r="3" spans="1:22">
      <c r="A3" s="2"/>
      <c r="B3" s="2"/>
      <c r="C3" s="2"/>
      <c r="D3" s="2"/>
      <c r="E3" s="2"/>
      <c r="F3" s="2"/>
      <c r="G3" s="2"/>
      <c r="H3" s="2"/>
      <c r="I3" s="2"/>
      <c r="J3" s="2"/>
      <c r="K3" s="2"/>
      <c r="L3" s="2"/>
      <c r="M3" s="2"/>
      <c r="N3" s="2"/>
      <c r="O3" s="2"/>
      <c r="P3" s="2"/>
      <c r="Q3" s="2"/>
      <c r="R3" s="2"/>
      <c r="S3" s="2"/>
      <c r="T3" s="2"/>
      <c r="U3" s="2"/>
      <c r="V3" s="2"/>
    </row>
    <row r="4" spans="1:22">
      <c r="A4" s="2"/>
      <c r="B4" s="2"/>
      <c r="C4" s="2"/>
      <c r="D4" s="155"/>
      <c r="E4" s="2"/>
      <c r="F4" s="2"/>
      <c r="G4" s="2"/>
      <c r="H4" s="2"/>
      <c r="I4" s="2"/>
      <c r="J4" s="2"/>
      <c r="K4" s="2"/>
      <c r="L4" s="2"/>
      <c r="M4" s="2"/>
      <c r="N4" s="2"/>
      <c r="O4" s="2"/>
      <c r="P4" s="2"/>
      <c r="Q4" s="2"/>
      <c r="R4" s="2"/>
      <c r="S4" s="2"/>
      <c r="T4" s="2"/>
      <c r="U4" s="2"/>
      <c r="V4" s="2"/>
    </row>
    <row r="5" spans="1:22">
      <c r="A5" s="2"/>
      <c r="B5" s="2"/>
      <c r="C5" s="2"/>
      <c r="D5" s="2"/>
      <c r="E5" s="2"/>
      <c r="F5" s="2"/>
      <c r="G5" s="2"/>
      <c r="H5" s="2"/>
      <c r="I5" s="2"/>
      <c r="J5" s="2"/>
      <c r="K5" s="2"/>
      <c r="L5" s="2"/>
      <c r="M5" s="2"/>
      <c r="N5" s="2"/>
      <c r="O5" s="2"/>
      <c r="P5" s="2"/>
      <c r="Q5" s="2"/>
      <c r="R5" s="2"/>
      <c r="S5" s="2"/>
      <c r="T5" s="2"/>
      <c r="U5" s="2"/>
      <c r="V5" s="2"/>
    </row>
    <row r="6" spans="1:22">
      <c r="A6" s="2"/>
      <c r="B6" s="2"/>
      <c r="C6" s="2"/>
      <c r="D6" s="2"/>
      <c r="E6" s="2"/>
      <c r="F6" s="2"/>
      <c r="G6" s="2"/>
      <c r="H6" s="2"/>
      <c r="I6" s="2"/>
      <c r="J6" s="2"/>
      <c r="K6" s="2"/>
      <c r="L6" s="2"/>
      <c r="M6" s="2"/>
      <c r="N6" s="2"/>
      <c r="O6" s="2"/>
      <c r="P6" s="2"/>
      <c r="Q6" s="2"/>
      <c r="R6" s="2"/>
      <c r="S6" s="2"/>
      <c r="T6" s="2"/>
      <c r="U6" s="2"/>
      <c r="V6" s="2"/>
    </row>
    <row r="7" spans="1:22">
      <c r="A7" s="2"/>
      <c r="B7" s="2"/>
      <c r="C7" s="2"/>
      <c r="D7" s="2"/>
      <c r="E7" s="2"/>
      <c r="F7" s="2"/>
      <c r="G7" s="2"/>
      <c r="H7" s="2"/>
      <c r="I7" s="2"/>
      <c r="J7" s="2"/>
      <c r="K7" s="2"/>
      <c r="L7" s="2"/>
      <c r="M7" s="2"/>
      <c r="N7" s="2"/>
      <c r="O7" s="2"/>
      <c r="P7" s="2"/>
      <c r="Q7" s="2"/>
      <c r="R7" s="2"/>
      <c r="S7" s="2"/>
      <c r="T7" s="2"/>
      <c r="U7" s="2"/>
      <c r="V7" s="2"/>
    </row>
    <row r="8" spans="1:22">
      <c r="A8" s="2"/>
      <c r="B8" s="2"/>
      <c r="C8" s="2"/>
      <c r="D8" s="2"/>
      <c r="E8" s="2"/>
      <c r="F8" s="2"/>
      <c r="G8" s="2"/>
      <c r="H8" s="2"/>
      <c r="I8" s="2"/>
      <c r="J8" s="2"/>
      <c r="K8" s="2"/>
      <c r="L8" s="2"/>
      <c r="M8" s="2"/>
      <c r="N8" s="2"/>
      <c r="O8" s="2"/>
      <c r="P8" s="2"/>
      <c r="Q8" s="2"/>
      <c r="R8" s="2"/>
      <c r="S8" s="2"/>
      <c r="T8" s="2"/>
      <c r="U8" s="2"/>
      <c r="V8" s="2"/>
    </row>
    <row r="9" spans="1:22">
      <c r="A9" s="2"/>
      <c r="B9" s="2"/>
      <c r="C9" s="2"/>
      <c r="D9" s="2"/>
      <c r="E9" s="2"/>
      <c r="F9" s="2"/>
      <c r="G9" s="2"/>
      <c r="H9" s="2"/>
      <c r="I9" s="2"/>
      <c r="J9" s="2"/>
      <c r="K9" s="2"/>
      <c r="L9" s="2"/>
      <c r="M9" s="2"/>
      <c r="N9" s="2"/>
      <c r="O9" s="2"/>
      <c r="P9" s="2"/>
      <c r="Q9" s="2"/>
      <c r="R9" s="2"/>
      <c r="S9" s="2"/>
      <c r="T9" s="2"/>
      <c r="U9" s="2"/>
      <c r="V9" s="2"/>
    </row>
    <row r="10" spans="1:22">
      <c r="A10" s="2"/>
      <c r="B10" s="2"/>
      <c r="C10" s="2"/>
      <c r="D10" s="2"/>
      <c r="E10" s="2"/>
      <c r="F10" s="2"/>
      <c r="G10" s="2"/>
      <c r="H10" s="2"/>
      <c r="I10" s="2"/>
      <c r="J10" s="2"/>
      <c r="K10" s="2"/>
      <c r="L10" s="2"/>
      <c r="M10" s="2"/>
      <c r="N10" s="2"/>
      <c r="O10" s="2"/>
      <c r="P10" s="2"/>
      <c r="Q10" s="2"/>
      <c r="R10" s="2"/>
      <c r="S10" s="2"/>
      <c r="T10" s="2"/>
      <c r="U10" s="2"/>
      <c r="V10" s="2"/>
    </row>
    <row r="11" spans="1:22">
      <c r="A11" s="2"/>
      <c r="B11" s="2"/>
      <c r="C11" s="2"/>
      <c r="D11" s="2"/>
      <c r="E11" s="2"/>
      <c r="F11" s="2"/>
      <c r="G11" s="2"/>
      <c r="H11" s="2"/>
      <c r="I11" s="2"/>
      <c r="J11" s="2"/>
      <c r="K11" s="2"/>
      <c r="L11" s="2"/>
      <c r="M11" s="2"/>
      <c r="N11" s="2"/>
      <c r="O11" s="2"/>
      <c r="P11" s="2"/>
      <c r="Q11" s="2"/>
      <c r="R11" s="2"/>
      <c r="S11" s="2"/>
      <c r="T11" s="2"/>
      <c r="U11" s="2"/>
      <c r="V11" s="2"/>
    </row>
    <row r="12" spans="1:22">
      <c r="A12" s="2"/>
      <c r="B12" s="2"/>
      <c r="C12" s="2"/>
      <c r="D12" s="2"/>
      <c r="E12" s="2"/>
      <c r="F12" s="2"/>
      <c r="G12" s="2"/>
      <c r="H12" s="2"/>
      <c r="I12" s="2"/>
      <c r="J12" s="2"/>
      <c r="K12" s="2"/>
      <c r="L12" s="2"/>
      <c r="M12" s="2"/>
      <c r="N12" s="2"/>
      <c r="O12" s="2"/>
      <c r="P12" s="2"/>
      <c r="Q12" s="2"/>
      <c r="R12" s="2"/>
      <c r="S12" s="2"/>
      <c r="T12" s="2"/>
      <c r="U12" s="2"/>
      <c r="V12" s="2"/>
    </row>
    <row r="13" spans="1:22">
      <c r="A13" s="2"/>
      <c r="B13" s="2"/>
      <c r="C13" s="2"/>
      <c r="D13" s="2"/>
      <c r="E13" s="2"/>
      <c r="F13" s="2"/>
      <c r="G13" s="2"/>
      <c r="H13" s="2"/>
      <c r="I13" s="2"/>
      <c r="J13" s="2"/>
      <c r="K13" s="2"/>
      <c r="L13" s="2"/>
      <c r="M13" s="2"/>
      <c r="N13" s="2"/>
      <c r="O13" s="2"/>
      <c r="P13" s="2"/>
      <c r="Q13" s="2"/>
      <c r="R13" s="2"/>
      <c r="S13" s="2"/>
      <c r="T13" s="2"/>
      <c r="U13" s="2"/>
      <c r="V13" s="2"/>
    </row>
    <row r="14" spans="1:22">
      <c r="A14" s="2"/>
      <c r="B14" s="2"/>
      <c r="C14" s="2"/>
      <c r="D14" s="2"/>
      <c r="E14" s="2"/>
      <c r="F14" s="2"/>
      <c r="G14" s="2"/>
      <c r="H14" s="2"/>
      <c r="I14" s="2"/>
      <c r="J14" s="2"/>
      <c r="K14" s="2"/>
      <c r="L14" s="2"/>
      <c r="M14" s="2"/>
      <c r="N14" s="2"/>
      <c r="O14" s="2"/>
      <c r="P14" s="2"/>
      <c r="Q14" s="2"/>
      <c r="R14" s="2"/>
      <c r="S14" s="2"/>
      <c r="T14" s="2"/>
      <c r="U14" s="2"/>
      <c r="V14" s="2"/>
    </row>
    <row r="15" spans="1:22">
      <c r="A15" s="2"/>
      <c r="B15" s="2"/>
      <c r="C15" s="2"/>
      <c r="D15" s="2"/>
      <c r="E15" s="2"/>
      <c r="F15" s="2"/>
      <c r="G15" s="2"/>
      <c r="H15" s="2"/>
      <c r="I15" s="2"/>
      <c r="J15" s="2"/>
      <c r="K15" s="2"/>
      <c r="L15" s="2"/>
      <c r="M15" s="2"/>
      <c r="N15" s="2"/>
      <c r="O15" s="2"/>
      <c r="P15" s="2"/>
      <c r="Q15" s="2"/>
      <c r="R15" s="2"/>
      <c r="S15" s="2"/>
      <c r="T15" s="2"/>
      <c r="U15" s="2"/>
      <c r="V15" s="2"/>
    </row>
    <row r="16" spans="1:22">
      <c r="A16" s="2"/>
      <c r="B16" s="2"/>
      <c r="C16" s="2"/>
      <c r="D16" s="2"/>
      <c r="E16" s="2"/>
      <c r="F16" s="2"/>
      <c r="G16" s="2"/>
      <c r="H16" s="2"/>
      <c r="I16" s="2"/>
      <c r="J16" s="2"/>
      <c r="K16" s="2"/>
      <c r="L16" s="2"/>
      <c r="M16" s="2"/>
      <c r="N16" s="2"/>
      <c r="O16" s="2"/>
      <c r="P16" s="2"/>
      <c r="Q16" s="2"/>
      <c r="R16" s="2"/>
      <c r="S16" s="2"/>
      <c r="T16" s="2"/>
      <c r="U16" s="2"/>
      <c r="V16" s="2"/>
    </row>
    <row r="17" spans="1:22">
      <c r="A17" s="2"/>
      <c r="B17" s="2"/>
      <c r="C17" s="2"/>
      <c r="D17" s="2"/>
      <c r="E17" s="2"/>
      <c r="F17" s="2"/>
      <c r="G17" s="2"/>
      <c r="H17" s="2"/>
      <c r="I17" s="2"/>
      <c r="J17" s="2"/>
      <c r="K17" s="2"/>
      <c r="L17" s="2"/>
      <c r="M17" s="2"/>
      <c r="N17" s="2"/>
      <c r="O17" s="2"/>
      <c r="P17" s="2"/>
      <c r="Q17" s="2"/>
      <c r="R17" s="2"/>
      <c r="S17" s="2"/>
      <c r="T17" s="2"/>
      <c r="U17" s="2"/>
      <c r="V17" s="2"/>
    </row>
    <row r="18" spans="1:22">
      <c r="A18" s="2"/>
      <c r="B18" s="2"/>
      <c r="C18" s="2"/>
      <c r="D18" s="2"/>
      <c r="E18" s="2"/>
      <c r="F18" s="2"/>
      <c r="G18" s="2"/>
      <c r="H18" s="2"/>
      <c r="I18" s="2"/>
      <c r="J18" s="2"/>
      <c r="K18" s="2"/>
      <c r="L18" s="2"/>
      <c r="M18" s="2"/>
      <c r="N18" s="2"/>
      <c r="O18" s="2"/>
      <c r="P18" s="2"/>
      <c r="Q18" s="2"/>
      <c r="R18" s="2"/>
      <c r="S18" s="2"/>
      <c r="T18" s="2"/>
      <c r="U18" s="2"/>
      <c r="V18" s="2"/>
    </row>
    <row r="19" spans="1:22">
      <c r="A19" s="2"/>
      <c r="B19" s="2"/>
      <c r="C19" s="2"/>
      <c r="D19" s="2"/>
      <c r="E19" s="2"/>
      <c r="F19" s="2"/>
      <c r="G19" s="2"/>
      <c r="H19" s="2"/>
      <c r="I19" s="2"/>
      <c r="J19" s="2"/>
      <c r="K19" s="2"/>
      <c r="L19" s="2"/>
      <c r="M19" s="2"/>
      <c r="N19" s="2"/>
      <c r="O19" s="2"/>
      <c r="P19" s="2"/>
      <c r="Q19" s="2"/>
      <c r="R19" s="2"/>
      <c r="S19" s="2"/>
      <c r="T19" s="2"/>
      <c r="U19" s="2"/>
      <c r="V19" s="2"/>
    </row>
    <row r="20" spans="1:22">
      <c r="A20" s="2"/>
      <c r="B20" s="2"/>
      <c r="C20" s="2"/>
      <c r="D20" s="2"/>
      <c r="E20" s="2"/>
      <c r="F20" s="2"/>
      <c r="G20" s="2"/>
      <c r="H20" s="2"/>
      <c r="I20" s="2"/>
      <c r="J20" s="2"/>
      <c r="K20" s="2"/>
      <c r="L20" s="2"/>
      <c r="M20" s="2"/>
      <c r="N20" s="2"/>
      <c r="O20" s="2"/>
      <c r="P20" s="2"/>
      <c r="Q20" s="2"/>
      <c r="R20" s="2"/>
      <c r="S20" s="2"/>
      <c r="T20" s="2"/>
      <c r="U20" s="2"/>
      <c r="V20" s="2"/>
    </row>
    <row r="21" spans="1:22">
      <c r="A21" s="2"/>
      <c r="B21" s="2"/>
      <c r="C21" s="2"/>
      <c r="D21" s="2"/>
      <c r="E21" s="2"/>
      <c r="F21" s="2"/>
      <c r="G21" s="2"/>
      <c r="H21" s="2"/>
      <c r="I21" s="2"/>
      <c r="J21" s="2"/>
      <c r="K21" s="2"/>
      <c r="L21" s="2"/>
      <c r="M21" s="2"/>
      <c r="N21" s="2"/>
      <c r="O21" s="2"/>
      <c r="P21" s="2"/>
      <c r="Q21" s="2"/>
      <c r="R21" s="2"/>
      <c r="S21" s="2"/>
      <c r="T21" s="2"/>
      <c r="U21" s="2"/>
      <c r="V21" s="2"/>
    </row>
    <row r="22" spans="1:22">
      <c r="A22" s="2"/>
      <c r="B22" s="2"/>
      <c r="C22" s="2"/>
      <c r="D22" s="2"/>
      <c r="E22" s="2"/>
      <c r="F22" s="2"/>
      <c r="G22" s="2"/>
      <c r="H22" s="2"/>
      <c r="I22" s="2"/>
      <c r="J22" s="2"/>
      <c r="K22" s="2"/>
      <c r="L22" s="2"/>
      <c r="M22" s="2"/>
      <c r="N22" s="2"/>
      <c r="O22" s="2"/>
      <c r="P22" s="2"/>
      <c r="Q22" s="2"/>
      <c r="R22" s="2"/>
      <c r="S22" s="2"/>
      <c r="T22" s="2"/>
      <c r="U22" s="2"/>
      <c r="V22" s="2"/>
    </row>
    <row r="23" spans="1:22">
      <c r="A23" s="2"/>
      <c r="B23" s="2"/>
      <c r="C23" s="2"/>
      <c r="D23" s="2"/>
      <c r="E23" s="2"/>
      <c r="F23" s="2"/>
      <c r="G23" s="2"/>
      <c r="H23" s="2"/>
      <c r="I23" s="2"/>
      <c r="J23" s="2"/>
      <c r="K23" s="2"/>
      <c r="L23" s="2"/>
      <c r="M23" s="2"/>
      <c r="N23" s="2"/>
      <c r="O23" s="2"/>
      <c r="P23" s="2"/>
      <c r="Q23" s="2"/>
      <c r="R23" s="2"/>
      <c r="S23" s="2"/>
      <c r="T23" s="2"/>
      <c r="U23" s="2"/>
      <c r="V23" s="2"/>
    </row>
    <row r="24" spans="1:22">
      <c r="A24" s="2"/>
      <c r="B24" s="2"/>
      <c r="C24" s="2"/>
      <c r="D24" s="2"/>
      <c r="E24" s="2"/>
      <c r="F24" s="2"/>
      <c r="G24" s="2"/>
      <c r="H24" s="2"/>
      <c r="I24" s="2"/>
      <c r="J24" s="2"/>
      <c r="K24" s="2"/>
      <c r="L24" s="2"/>
      <c r="M24" s="2"/>
      <c r="N24" s="2"/>
      <c r="O24" s="2"/>
      <c r="P24" s="2"/>
      <c r="Q24" s="2"/>
      <c r="R24" s="2"/>
      <c r="S24" s="2"/>
      <c r="T24" s="2"/>
      <c r="U24" s="2"/>
      <c r="V24" s="2"/>
    </row>
    <row r="25" spans="1:22">
      <c r="A25" s="2"/>
      <c r="B25" s="2"/>
      <c r="C25" s="2"/>
      <c r="D25" s="2"/>
      <c r="E25" s="2"/>
      <c r="F25" s="2"/>
      <c r="G25" s="2"/>
      <c r="H25" s="2"/>
      <c r="I25" s="2"/>
      <c r="J25" s="2"/>
      <c r="K25" s="2"/>
      <c r="L25" s="2"/>
      <c r="M25" s="2"/>
      <c r="N25" s="2"/>
      <c r="O25" s="2"/>
      <c r="P25" s="2"/>
      <c r="Q25" s="2"/>
      <c r="R25" s="2"/>
      <c r="S25" s="2"/>
      <c r="T25" s="2"/>
      <c r="U25" s="2"/>
      <c r="V25" s="2"/>
    </row>
    <row r="26" spans="1:22">
      <c r="A26" s="2"/>
      <c r="B26" s="2"/>
      <c r="C26" s="2"/>
      <c r="D26" s="2"/>
      <c r="E26" s="2"/>
      <c r="F26" s="2"/>
      <c r="G26" s="2"/>
      <c r="H26" s="2"/>
      <c r="I26" s="2"/>
      <c r="J26" s="2"/>
      <c r="K26" s="2"/>
      <c r="L26" s="2"/>
      <c r="M26" s="2"/>
      <c r="N26" s="2"/>
      <c r="O26" s="2"/>
      <c r="P26" s="2"/>
      <c r="Q26" s="2"/>
      <c r="R26" s="2"/>
      <c r="S26" s="2"/>
      <c r="T26" s="2"/>
      <c r="U26" s="2"/>
      <c r="V26" s="2"/>
    </row>
    <row r="27" spans="1:22">
      <c r="A27" s="2"/>
      <c r="B27" s="2"/>
      <c r="C27" s="2"/>
      <c r="D27" s="2"/>
      <c r="E27" s="2"/>
      <c r="F27" s="2"/>
      <c r="G27" s="2"/>
      <c r="H27" s="2"/>
      <c r="I27" s="2"/>
      <c r="J27" s="2"/>
      <c r="K27" s="2"/>
      <c r="L27" s="2"/>
      <c r="M27" s="2"/>
      <c r="N27" s="2"/>
      <c r="O27" s="2"/>
      <c r="P27" s="2"/>
      <c r="Q27" s="2"/>
      <c r="R27" s="2"/>
      <c r="S27" s="2"/>
      <c r="T27" s="2"/>
      <c r="U27" s="2"/>
      <c r="V27" s="2"/>
    </row>
    <row r="28" spans="1:22">
      <c r="A28" s="2"/>
      <c r="B28" s="2"/>
      <c r="C28" s="2"/>
      <c r="D28" s="2"/>
      <c r="E28" s="2"/>
      <c r="F28" s="2"/>
      <c r="G28" s="2"/>
      <c r="H28" s="2"/>
      <c r="I28" s="2"/>
      <c r="J28" s="2"/>
      <c r="K28" s="2"/>
      <c r="L28" s="2"/>
      <c r="M28" s="2"/>
      <c r="N28" s="2"/>
      <c r="O28" s="2"/>
      <c r="P28" s="2"/>
      <c r="Q28" s="2"/>
      <c r="R28" s="2"/>
      <c r="S28" s="2"/>
      <c r="T28" s="2"/>
      <c r="U28" s="2"/>
      <c r="V28" s="2"/>
    </row>
    <row r="29" spans="1:22">
      <c r="A29" s="2"/>
      <c r="B29" s="2"/>
      <c r="C29" s="2"/>
      <c r="D29" s="2"/>
      <c r="E29" s="2"/>
      <c r="F29" s="2"/>
      <c r="G29" s="2"/>
      <c r="H29" s="2"/>
      <c r="I29" s="2"/>
      <c r="J29" s="2"/>
      <c r="K29" s="2"/>
      <c r="L29" s="2"/>
      <c r="M29" s="2"/>
      <c r="N29" s="2"/>
      <c r="O29" s="2"/>
      <c r="P29" s="2"/>
      <c r="Q29" s="2"/>
      <c r="R29" s="2"/>
      <c r="S29" s="2"/>
      <c r="T29" s="2"/>
      <c r="U29" s="2"/>
      <c r="V29" s="2"/>
    </row>
    <row r="30" spans="1:22">
      <c r="A30" s="2"/>
      <c r="B30" s="2"/>
      <c r="C30" s="2"/>
      <c r="D30" s="2"/>
      <c r="E30" s="2"/>
      <c r="F30" s="2"/>
      <c r="G30" s="2"/>
      <c r="H30" s="2"/>
      <c r="I30" s="2"/>
      <c r="J30" s="2"/>
      <c r="K30" s="2"/>
      <c r="L30" s="2"/>
      <c r="M30" s="2"/>
      <c r="N30" s="2"/>
      <c r="O30" s="2"/>
      <c r="P30" s="2"/>
      <c r="Q30" s="2"/>
      <c r="R30" s="2"/>
      <c r="S30" s="2"/>
      <c r="T30" s="2"/>
      <c r="U30" s="2"/>
      <c r="V30" s="2"/>
    </row>
    <row r="31" spans="1:22">
      <c r="A31" s="2"/>
      <c r="B31" s="2"/>
      <c r="C31" s="2"/>
      <c r="D31" s="2"/>
      <c r="E31" s="2"/>
      <c r="F31" s="2"/>
      <c r="G31" s="2"/>
      <c r="H31" s="2"/>
      <c r="I31" s="2"/>
      <c r="J31" s="2"/>
      <c r="K31" s="2"/>
      <c r="L31" s="2"/>
      <c r="M31" s="2"/>
      <c r="N31" s="2"/>
      <c r="O31" s="2"/>
      <c r="P31" s="2"/>
      <c r="Q31" s="2"/>
      <c r="R31" s="2"/>
      <c r="S31" s="2"/>
      <c r="T31" s="2"/>
      <c r="U31" s="2"/>
      <c r="V31" s="2"/>
    </row>
    <row r="32" spans="1:22">
      <c r="A32" s="1"/>
      <c r="B32" s="1"/>
      <c r="C32" s="1"/>
      <c r="D32" s="1"/>
      <c r="E32" s="1"/>
      <c r="F32" s="1"/>
      <c r="G32" s="1"/>
      <c r="H32" s="1"/>
      <c r="I32" s="1"/>
      <c r="J32" s="1"/>
      <c r="K32" s="1"/>
      <c r="L32" s="1"/>
      <c r="M32" s="1"/>
      <c r="N32" s="1"/>
      <c r="O32" s="1"/>
      <c r="P32" s="1"/>
      <c r="Q32" s="1"/>
      <c r="R32" s="1"/>
      <c r="S32" s="1"/>
      <c r="T32" s="1"/>
      <c r="U32" s="1"/>
      <c r="V32" s="1"/>
    </row>
    <row r="33" spans="1:22">
      <c r="A33" s="1"/>
      <c r="B33" s="1"/>
      <c r="C33" s="1"/>
      <c r="D33" s="1"/>
      <c r="E33" s="1"/>
      <c r="F33" s="1"/>
      <c r="G33" s="1"/>
      <c r="H33" s="1"/>
      <c r="I33" s="1"/>
      <c r="J33" s="1"/>
      <c r="K33" s="1"/>
      <c r="L33" s="1"/>
      <c r="M33" s="1"/>
      <c r="N33" s="1"/>
      <c r="O33" s="1"/>
      <c r="P33" s="1"/>
      <c r="Q33" s="1"/>
      <c r="R33" s="1"/>
      <c r="S33" s="1"/>
      <c r="T33" s="1"/>
      <c r="U33" s="1"/>
      <c r="V33" s="1"/>
    </row>
    <row r="34" spans="1:22">
      <c r="A34" s="1"/>
      <c r="B34" s="1"/>
      <c r="C34" s="1"/>
      <c r="D34" s="1"/>
      <c r="E34" s="1"/>
      <c r="F34" s="1"/>
      <c r="G34" s="1"/>
      <c r="H34" s="1"/>
      <c r="I34" s="1"/>
      <c r="J34" s="1"/>
      <c r="K34" s="1"/>
      <c r="L34" s="1"/>
      <c r="M34" s="1"/>
      <c r="N34" s="1"/>
      <c r="O34" s="1"/>
      <c r="P34" s="1"/>
      <c r="Q34" s="1"/>
      <c r="R34" s="1"/>
      <c r="S34" s="1"/>
      <c r="T34" s="1"/>
      <c r="U34" s="1"/>
      <c r="V34" s="1"/>
    </row>
  </sheetData>
  <mergeCells count="2">
    <mergeCell ref="A1:V1"/>
    <mergeCell ref="A2:V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DDB95-5F73-4E6B-8168-A1BC72CFC35D}">
  <sheetPr codeName="Sheet3">
    <tabColor theme="2" tint="-0.499984740745262"/>
  </sheetPr>
  <dimension ref="A1:W34"/>
  <sheetViews>
    <sheetView zoomScaleNormal="100" workbookViewId="0">
      <selection activeCell="N21" sqref="N21"/>
    </sheetView>
  </sheetViews>
  <sheetFormatPr defaultRowHeight="14.45"/>
  <sheetData>
    <row r="1" spans="1:23">
      <c r="A1" s="103"/>
      <c r="B1" s="103"/>
      <c r="C1" s="103"/>
      <c r="D1" s="103"/>
      <c r="E1" s="103"/>
      <c r="F1" s="103"/>
      <c r="G1" s="103"/>
      <c r="H1" s="103"/>
      <c r="I1" s="103"/>
      <c r="J1" s="103"/>
      <c r="K1" s="103"/>
      <c r="L1" s="103"/>
      <c r="M1" s="103"/>
      <c r="N1" s="103"/>
      <c r="O1" s="103"/>
      <c r="P1" s="103"/>
      <c r="Q1" s="103"/>
      <c r="R1" s="103"/>
      <c r="S1" s="103"/>
      <c r="T1" s="103"/>
      <c r="U1" s="103"/>
      <c r="V1" s="103"/>
      <c r="W1" s="103"/>
    </row>
    <row r="2" spans="1:23">
      <c r="A2" s="103"/>
      <c r="B2" s="103"/>
      <c r="C2" s="103"/>
      <c r="D2" s="103"/>
      <c r="E2" s="103"/>
      <c r="F2" s="103"/>
      <c r="G2" s="103"/>
      <c r="H2" s="103"/>
      <c r="I2" s="103"/>
      <c r="J2" s="103"/>
      <c r="K2" s="103"/>
      <c r="L2" s="103"/>
      <c r="M2" s="103"/>
      <c r="N2" s="103"/>
      <c r="O2" s="103"/>
      <c r="P2" s="103"/>
      <c r="Q2" s="103"/>
      <c r="R2" s="103"/>
      <c r="S2" s="103"/>
      <c r="T2" s="103"/>
      <c r="U2" s="103"/>
      <c r="V2" s="103"/>
      <c r="W2" s="103"/>
    </row>
    <row r="3" spans="1:23">
      <c r="A3" s="103"/>
      <c r="B3" s="103"/>
      <c r="C3" s="103"/>
      <c r="D3" s="103"/>
      <c r="E3" s="103"/>
      <c r="F3" s="103"/>
      <c r="G3" s="103"/>
      <c r="H3" s="103"/>
      <c r="I3" s="103"/>
      <c r="J3" s="103"/>
      <c r="K3" s="103"/>
      <c r="L3" s="103"/>
      <c r="M3" s="103"/>
      <c r="N3" s="103"/>
      <c r="O3" s="103"/>
      <c r="P3" s="103"/>
      <c r="Q3" s="103"/>
      <c r="R3" s="103"/>
      <c r="S3" s="103"/>
      <c r="T3" s="103"/>
      <c r="U3" s="103"/>
      <c r="V3" s="103"/>
      <c r="W3" s="103"/>
    </row>
    <row r="4" spans="1:23">
      <c r="A4" s="103"/>
      <c r="B4" s="103"/>
      <c r="C4" s="103"/>
      <c r="D4" s="103"/>
      <c r="E4" s="103"/>
      <c r="F4" s="103"/>
      <c r="G4" s="103"/>
      <c r="H4" s="103"/>
      <c r="I4" s="103"/>
      <c r="J4" s="103"/>
      <c r="K4" s="103"/>
      <c r="L4" s="103"/>
      <c r="M4" s="103"/>
      <c r="N4" s="103"/>
      <c r="O4" s="103"/>
      <c r="P4" s="103"/>
      <c r="Q4" s="103"/>
      <c r="R4" s="103"/>
      <c r="S4" s="103"/>
      <c r="T4" s="103"/>
      <c r="U4" s="103"/>
      <c r="V4" s="103"/>
      <c r="W4" s="103"/>
    </row>
    <row r="5" spans="1:23">
      <c r="A5" s="103"/>
      <c r="B5" s="103"/>
      <c r="C5" s="103"/>
      <c r="D5" s="103"/>
      <c r="E5" s="103"/>
      <c r="F5" s="103"/>
      <c r="G5" s="103"/>
      <c r="H5" s="103"/>
      <c r="I5" s="103"/>
      <c r="J5" s="103"/>
      <c r="K5" s="103"/>
      <c r="L5" s="103"/>
      <c r="M5" s="103"/>
      <c r="N5" s="103"/>
      <c r="O5" s="103"/>
      <c r="P5" s="103"/>
      <c r="Q5" s="103"/>
      <c r="R5" s="103"/>
      <c r="S5" s="103"/>
      <c r="T5" s="103"/>
      <c r="U5" s="103"/>
      <c r="V5" s="103"/>
      <c r="W5" s="103"/>
    </row>
    <row r="6" spans="1:23">
      <c r="A6" s="103"/>
      <c r="B6" s="103"/>
      <c r="C6" s="103"/>
      <c r="D6" s="103"/>
      <c r="E6" s="103"/>
      <c r="F6" s="103"/>
      <c r="G6" s="103"/>
      <c r="H6" s="103"/>
      <c r="I6" s="103"/>
      <c r="J6" s="103"/>
      <c r="K6" s="103"/>
      <c r="L6" s="103"/>
      <c r="M6" s="103"/>
      <c r="N6" s="103"/>
      <c r="O6" s="103"/>
      <c r="P6" s="103"/>
      <c r="Q6" s="103"/>
      <c r="R6" s="103"/>
      <c r="S6" s="103"/>
      <c r="T6" s="103"/>
      <c r="U6" s="103"/>
      <c r="V6" s="103"/>
      <c r="W6" s="103"/>
    </row>
    <row r="7" spans="1:23">
      <c r="A7" s="103"/>
      <c r="B7" s="103"/>
      <c r="C7" s="103"/>
      <c r="D7" s="103"/>
      <c r="E7" s="103"/>
      <c r="F7" s="103"/>
      <c r="G7" s="103"/>
      <c r="H7" s="103"/>
      <c r="I7" s="103"/>
      <c r="J7" s="103"/>
      <c r="K7" s="103"/>
      <c r="L7" s="103"/>
      <c r="M7" s="103"/>
      <c r="N7" s="103"/>
      <c r="O7" s="103"/>
      <c r="P7" s="103"/>
      <c r="Q7" s="103"/>
      <c r="R7" s="103"/>
      <c r="S7" s="103"/>
      <c r="T7" s="103"/>
      <c r="U7" s="103"/>
      <c r="V7" s="103"/>
      <c r="W7" s="103"/>
    </row>
    <row r="8" spans="1:23">
      <c r="A8" s="103"/>
      <c r="B8" s="103"/>
      <c r="C8" s="103"/>
      <c r="D8" s="103"/>
      <c r="E8" s="103"/>
      <c r="F8" s="103"/>
      <c r="G8" s="103"/>
      <c r="H8" s="103"/>
      <c r="I8" s="103"/>
      <c r="J8" s="103"/>
      <c r="K8" s="103"/>
      <c r="L8" s="103"/>
      <c r="M8" s="103"/>
      <c r="N8" s="103"/>
      <c r="O8" s="103"/>
      <c r="P8" s="103"/>
      <c r="Q8" s="103"/>
      <c r="R8" s="103"/>
      <c r="S8" s="103"/>
      <c r="T8" s="103"/>
      <c r="U8" s="103"/>
      <c r="V8" s="103"/>
      <c r="W8" s="103"/>
    </row>
    <row r="9" spans="1:23">
      <c r="A9" s="103"/>
      <c r="B9" s="103"/>
      <c r="C9" s="103"/>
      <c r="D9" s="103"/>
      <c r="E9" s="103"/>
      <c r="F9" s="103"/>
      <c r="G9" s="103"/>
      <c r="H9" s="103"/>
      <c r="I9" s="103"/>
      <c r="J9" s="103"/>
      <c r="K9" s="103"/>
      <c r="L9" s="103"/>
      <c r="M9" s="103"/>
      <c r="N9" s="103"/>
      <c r="O9" s="103"/>
      <c r="P9" s="103"/>
      <c r="Q9" s="103"/>
      <c r="R9" s="103"/>
      <c r="S9" s="103"/>
      <c r="T9" s="103"/>
      <c r="U9" s="103"/>
      <c r="V9" s="103"/>
      <c r="W9" s="103"/>
    </row>
    <row r="10" spans="1:23">
      <c r="A10" s="103"/>
      <c r="B10" s="103"/>
      <c r="C10" s="103"/>
      <c r="D10" s="103"/>
      <c r="E10" s="103"/>
      <c r="F10" s="103"/>
      <c r="G10" s="103"/>
      <c r="H10" s="103"/>
      <c r="I10" s="103"/>
      <c r="J10" s="103"/>
      <c r="K10" s="103"/>
      <c r="L10" s="103"/>
      <c r="M10" s="103"/>
      <c r="N10" s="103"/>
      <c r="O10" s="103"/>
      <c r="P10" s="103"/>
      <c r="Q10" s="103"/>
      <c r="R10" s="103"/>
      <c r="S10" s="103"/>
      <c r="T10" s="103"/>
      <c r="U10" s="103"/>
      <c r="V10" s="103"/>
      <c r="W10" s="103"/>
    </row>
    <row r="11" spans="1:23">
      <c r="A11" s="103"/>
      <c r="B11" s="103"/>
      <c r="C11" s="103"/>
      <c r="D11" s="103"/>
      <c r="E11" s="103"/>
      <c r="F11" s="103"/>
      <c r="G11" s="103"/>
      <c r="H11" s="103"/>
      <c r="I11" s="103"/>
      <c r="J11" s="103"/>
      <c r="K11" s="103"/>
      <c r="L11" s="103"/>
      <c r="M11" s="103"/>
      <c r="N11" s="103"/>
      <c r="O11" s="103"/>
      <c r="P11" s="103"/>
      <c r="Q11" s="103"/>
      <c r="R11" s="103"/>
      <c r="S11" s="103"/>
      <c r="T11" s="103"/>
      <c r="U11" s="103"/>
      <c r="V11" s="103"/>
      <c r="W11" s="103"/>
    </row>
    <row r="12" spans="1:23">
      <c r="A12" s="103"/>
      <c r="B12" s="103"/>
      <c r="C12" s="103"/>
      <c r="D12" s="103"/>
      <c r="E12" s="103"/>
      <c r="F12" s="103"/>
      <c r="G12" s="103"/>
      <c r="H12" s="103"/>
      <c r="I12" s="103"/>
      <c r="J12" s="103"/>
      <c r="K12" s="103"/>
      <c r="L12" s="103"/>
      <c r="M12" s="103"/>
      <c r="N12" s="103"/>
      <c r="O12" s="103"/>
      <c r="P12" s="103"/>
      <c r="Q12" s="103"/>
      <c r="R12" s="103"/>
      <c r="S12" s="103"/>
      <c r="T12" s="103"/>
      <c r="U12" s="103"/>
      <c r="V12" s="103"/>
      <c r="W12" s="103"/>
    </row>
    <row r="13" spans="1:23">
      <c r="A13" s="103"/>
      <c r="B13" s="103"/>
      <c r="C13" s="103"/>
      <c r="D13" s="103"/>
      <c r="E13" s="103"/>
      <c r="F13" s="103"/>
      <c r="G13" s="103"/>
      <c r="H13" s="103"/>
      <c r="I13" s="103"/>
      <c r="J13" s="103"/>
      <c r="K13" s="103"/>
      <c r="L13" s="103"/>
      <c r="M13" s="103"/>
      <c r="N13" s="103"/>
      <c r="O13" s="103"/>
      <c r="P13" s="103"/>
      <c r="Q13" s="103"/>
      <c r="R13" s="103"/>
      <c r="S13" s="103"/>
      <c r="T13" s="103"/>
      <c r="U13" s="103"/>
      <c r="V13" s="103"/>
      <c r="W13" s="103"/>
    </row>
    <row r="14" spans="1:23">
      <c r="A14" s="103"/>
      <c r="B14" s="103"/>
      <c r="C14" s="103"/>
      <c r="D14" s="103"/>
      <c r="E14" s="103"/>
      <c r="F14" s="103"/>
      <c r="G14" s="103"/>
      <c r="H14" s="103"/>
      <c r="I14" s="103"/>
      <c r="J14" s="103"/>
      <c r="K14" s="103"/>
      <c r="L14" s="103"/>
      <c r="M14" s="103"/>
      <c r="N14" s="103"/>
      <c r="O14" s="103"/>
      <c r="P14" s="103"/>
      <c r="Q14" s="103"/>
      <c r="R14" s="103"/>
      <c r="S14" s="103"/>
      <c r="T14" s="103"/>
      <c r="U14" s="103"/>
      <c r="V14" s="103"/>
      <c r="W14" s="103"/>
    </row>
    <row r="15" spans="1:23">
      <c r="A15" s="103"/>
      <c r="B15" s="103"/>
      <c r="C15" s="103"/>
      <c r="D15" s="103"/>
      <c r="E15" s="103"/>
      <c r="F15" s="103"/>
      <c r="G15" s="103"/>
      <c r="H15" s="103"/>
      <c r="I15" s="103"/>
      <c r="J15" s="103"/>
      <c r="K15" s="103"/>
      <c r="L15" s="103"/>
      <c r="M15" s="103"/>
      <c r="N15" s="103"/>
      <c r="O15" s="103"/>
      <c r="P15" s="103"/>
      <c r="Q15" s="103"/>
      <c r="R15" s="103"/>
      <c r="S15" s="103"/>
      <c r="T15" s="103"/>
      <c r="U15" s="103"/>
      <c r="V15" s="103"/>
      <c r="W15" s="103"/>
    </row>
    <row r="16" spans="1:23">
      <c r="A16" s="103"/>
      <c r="B16" s="103"/>
      <c r="C16" s="103"/>
      <c r="D16" s="103"/>
      <c r="E16" s="103"/>
      <c r="F16" s="103"/>
      <c r="G16" s="103"/>
      <c r="H16" s="103"/>
      <c r="I16" s="103"/>
      <c r="J16" s="103"/>
      <c r="K16" s="103"/>
      <c r="L16" s="103"/>
      <c r="M16" s="103"/>
      <c r="N16" s="103"/>
      <c r="O16" s="103"/>
      <c r="P16" s="103"/>
      <c r="Q16" s="103"/>
      <c r="R16" s="103"/>
      <c r="S16" s="103"/>
      <c r="T16" s="103"/>
      <c r="U16" s="103"/>
      <c r="V16" s="103"/>
      <c r="W16" s="103"/>
    </row>
    <row r="17" spans="1:23">
      <c r="A17" s="103"/>
      <c r="B17" s="103"/>
      <c r="C17" s="103"/>
      <c r="D17" s="103"/>
      <c r="E17" s="103"/>
      <c r="F17" s="103"/>
      <c r="G17" s="103"/>
      <c r="H17" s="103"/>
      <c r="I17" s="103"/>
      <c r="J17" s="103"/>
      <c r="K17" s="103"/>
      <c r="L17" s="103"/>
      <c r="M17" s="103"/>
      <c r="N17" s="103"/>
      <c r="O17" s="103"/>
      <c r="P17" s="103"/>
      <c r="Q17" s="103"/>
      <c r="R17" s="103"/>
      <c r="S17" s="103"/>
      <c r="T17" s="103"/>
      <c r="U17" s="103"/>
      <c r="V17" s="103"/>
      <c r="W17" s="103"/>
    </row>
    <row r="18" spans="1:23">
      <c r="A18" s="103"/>
      <c r="B18" s="103"/>
      <c r="C18" s="103"/>
      <c r="D18" s="103"/>
      <c r="E18" s="103"/>
      <c r="F18" s="103"/>
      <c r="G18" s="103"/>
      <c r="H18" s="103"/>
      <c r="I18" s="103"/>
      <c r="J18" s="103"/>
      <c r="K18" s="103"/>
      <c r="L18" s="103"/>
      <c r="M18" s="103"/>
      <c r="N18" s="103"/>
      <c r="O18" s="103"/>
      <c r="P18" s="103"/>
      <c r="Q18" s="103"/>
      <c r="R18" s="103"/>
      <c r="S18" s="103"/>
      <c r="T18" s="103"/>
      <c r="U18" s="103"/>
      <c r="V18" s="103"/>
      <c r="W18" s="103"/>
    </row>
    <row r="19" spans="1:23">
      <c r="A19" s="103"/>
      <c r="B19" s="103"/>
      <c r="C19" s="103"/>
      <c r="D19" s="103"/>
      <c r="E19" s="103"/>
      <c r="F19" s="103"/>
      <c r="G19" s="103"/>
      <c r="H19" s="103"/>
      <c r="I19" s="103"/>
      <c r="J19" s="103"/>
      <c r="K19" s="103"/>
      <c r="L19" s="103"/>
      <c r="M19" s="103"/>
      <c r="N19" s="103"/>
      <c r="O19" s="103"/>
      <c r="P19" s="103"/>
      <c r="Q19" s="103"/>
      <c r="R19" s="103"/>
      <c r="S19" s="103"/>
      <c r="T19" s="103"/>
      <c r="U19" s="103"/>
      <c r="V19" s="103"/>
      <c r="W19" s="103"/>
    </row>
    <row r="20" spans="1:23">
      <c r="A20" s="103"/>
      <c r="B20" s="103"/>
      <c r="C20" s="103"/>
      <c r="D20" s="103"/>
      <c r="E20" s="103"/>
      <c r="F20" s="103"/>
      <c r="G20" s="103"/>
      <c r="H20" s="103"/>
      <c r="I20" s="103"/>
      <c r="J20" s="103"/>
      <c r="K20" s="103"/>
      <c r="L20" s="103"/>
      <c r="M20" s="103"/>
      <c r="N20" s="103"/>
      <c r="O20" s="103"/>
      <c r="P20" s="103"/>
      <c r="Q20" s="103"/>
      <c r="R20" s="103"/>
      <c r="S20" s="103"/>
      <c r="T20" s="103"/>
      <c r="U20" s="103"/>
      <c r="V20" s="103"/>
      <c r="W20" s="103"/>
    </row>
    <row r="21" spans="1:23">
      <c r="A21" s="103"/>
      <c r="B21" s="103"/>
      <c r="C21" s="103"/>
      <c r="D21" s="103"/>
      <c r="E21" s="103"/>
      <c r="F21" s="103"/>
      <c r="G21" s="103"/>
      <c r="H21" s="103"/>
      <c r="I21" s="103"/>
      <c r="J21" s="103"/>
      <c r="K21" s="103"/>
      <c r="L21" s="103"/>
      <c r="M21" s="103"/>
      <c r="N21" s="103"/>
      <c r="O21" s="103"/>
      <c r="P21" s="103"/>
      <c r="Q21" s="103"/>
      <c r="R21" s="103"/>
      <c r="S21" s="103"/>
      <c r="T21" s="103"/>
      <c r="U21" s="103"/>
      <c r="V21" s="103"/>
      <c r="W21" s="103"/>
    </row>
    <row r="22" spans="1:23">
      <c r="A22" s="103"/>
      <c r="B22" s="103"/>
      <c r="C22" s="103"/>
      <c r="D22" s="103"/>
      <c r="E22" s="103"/>
      <c r="F22" s="103"/>
      <c r="G22" s="103"/>
      <c r="H22" s="103"/>
      <c r="I22" s="103"/>
      <c r="J22" s="103"/>
      <c r="K22" s="103"/>
      <c r="L22" s="103"/>
      <c r="M22" s="103"/>
      <c r="N22" s="103"/>
      <c r="O22" s="103"/>
      <c r="P22" s="103"/>
      <c r="Q22" s="103"/>
      <c r="R22" s="103"/>
      <c r="S22" s="103"/>
      <c r="T22" s="103"/>
      <c r="U22" s="103"/>
      <c r="V22" s="103"/>
      <c r="W22" s="103"/>
    </row>
    <row r="23" spans="1:23">
      <c r="A23" s="103"/>
      <c r="B23" s="103"/>
      <c r="C23" s="103"/>
      <c r="D23" s="103"/>
      <c r="E23" s="103"/>
      <c r="F23" s="103"/>
      <c r="G23" s="103"/>
      <c r="H23" s="103"/>
      <c r="I23" s="103"/>
      <c r="J23" s="103"/>
      <c r="K23" s="103"/>
      <c r="L23" s="103"/>
      <c r="M23" s="103"/>
      <c r="N23" s="103"/>
      <c r="O23" s="103"/>
      <c r="P23" s="103"/>
      <c r="Q23" s="103"/>
      <c r="R23" s="103"/>
      <c r="S23" s="103"/>
      <c r="T23" s="103"/>
      <c r="U23" s="103"/>
      <c r="V23" s="103"/>
      <c r="W23" s="103"/>
    </row>
    <row r="24" spans="1:23">
      <c r="A24" s="103"/>
      <c r="B24" s="103"/>
      <c r="C24" s="103"/>
      <c r="D24" s="103"/>
      <c r="E24" s="103"/>
      <c r="F24" s="103"/>
      <c r="G24" s="103"/>
      <c r="H24" s="103"/>
      <c r="I24" s="103"/>
      <c r="J24" s="103"/>
      <c r="K24" s="103"/>
      <c r="L24" s="103"/>
      <c r="M24" s="103"/>
      <c r="N24" s="103"/>
      <c r="O24" s="103"/>
      <c r="P24" s="103"/>
      <c r="Q24" s="103"/>
      <c r="R24" s="103"/>
      <c r="S24" s="103"/>
      <c r="T24" s="103"/>
      <c r="U24" s="103"/>
      <c r="V24" s="103"/>
      <c r="W24" s="103"/>
    </row>
    <row r="25" spans="1:23">
      <c r="A25" s="103"/>
      <c r="B25" s="103"/>
      <c r="C25" s="103"/>
      <c r="D25" s="103"/>
      <c r="E25" s="103"/>
      <c r="F25" s="103"/>
      <c r="G25" s="103"/>
      <c r="H25" s="103"/>
      <c r="I25" s="103"/>
      <c r="J25" s="103"/>
      <c r="K25" s="103"/>
      <c r="L25" s="103"/>
      <c r="M25" s="103"/>
      <c r="N25" s="103"/>
      <c r="O25" s="103"/>
      <c r="P25" s="103"/>
      <c r="Q25" s="103"/>
      <c r="R25" s="103"/>
      <c r="S25" s="103"/>
      <c r="T25" s="103"/>
      <c r="U25" s="103"/>
      <c r="V25" s="103"/>
      <c r="W25" s="103"/>
    </row>
    <row r="26" spans="1:23">
      <c r="A26" s="103"/>
      <c r="B26" s="103"/>
      <c r="C26" s="103"/>
      <c r="D26" s="103"/>
      <c r="E26" s="103"/>
      <c r="F26" s="103"/>
      <c r="G26" s="103"/>
      <c r="H26" s="103"/>
      <c r="I26" s="103"/>
      <c r="J26" s="103"/>
      <c r="K26" s="103"/>
      <c r="L26" s="103"/>
      <c r="M26" s="103"/>
      <c r="N26" s="103"/>
      <c r="O26" s="103"/>
      <c r="P26" s="103"/>
      <c r="Q26" s="103"/>
      <c r="R26" s="103"/>
      <c r="S26" s="103"/>
      <c r="T26" s="103"/>
      <c r="U26" s="103"/>
      <c r="V26" s="103"/>
      <c r="W26" s="103"/>
    </row>
    <row r="27" spans="1:23">
      <c r="A27" s="103"/>
      <c r="B27" s="103"/>
      <c r="C27" s="103"/>
      <c r="D27" s="103"/>
      <c r="E27" s="103"/>
      <c r="F27" s="103"/>
      <c r="G27" s="103"/>
      <c r="H27" s="103"/>
      <c r="I27" s="103"/>
      <c r="J27" s="103"/>
      <c r="K27" s="103"/>
      <c r="L27" s="103"/>
      <c r="M27" s="103"/>
      <c r="N27" s="103"/>
      <c r="O27" s="103"/>
      <c r="P27" s="103"/>
      <c r="Q27" s="103"/>
      <c r="R27" s="103"/>
      <c r="S27" s="103"/>
      <c r="T27" s="103"/>
      <c r="U27" s="103"/>
      <c r="V27" s="103"/>
      <c r="W27" s="103"/>
    </row>
    <row r="28" spans="1:23">
      <c r="A28" s="103"/>
      <c r="B28" s="103"/>
      <c r="C28" s="103"/>
      <c r="D28" s="103"/>
      <c r="E28" s="103"/>
      <c r="F28" s="103"/>
      <c r="G28" s="103"/>
      <c r="H28" s="103"/>
      <c r="I28" s="103"/>
      <c r="J28" s="103"/>
      <c r="K28" s="103"/>
      <c r="L28" s="103"/>
      <c r="M28" s="103"/>
      <c r="N28" s="103"/>
      <c r="O28" s="103"/>
      <c r="P28" s="103"/>
      <c r="Q28" s="103"/>
      <c r="R28" s="103"/>
      <c r="S28" s="103"/>
      <c r="T28" s="103"/>
      <c r="U28" s="103"/>
      <c r="V28" s="103"/>
      <c r="W28" s="103"/>
    </row>
    <row r="29" spans="1:23">
      <c r="A29" s="103"/>
      <c r="B29" s="103"/>
      <c r="C29" s="103"/>
      <c r="D29" s="103"/>
      <c r="E29" s="103"/>
      <c r="F29" s="103"/>
      <c r="G29" s="103"/>
      <c r="H29" s="103"/>
      <c r="I29" s="103"/>
      <c r="J29" s="103"/>
      <c r="K29" s="103"/>
      <c r="L29" s="103"/>
      <c r="M29" s="103"/>
      <c r="N29" s="103"/>
      <c r="O29" s="103"/>
      <c r="P29" s="103"/>
      <c r="Q29" s="103"/>
      <c r="R29" s="103"/>
      <c r="S29" s="103"/>
      <c r="T29" s="103"/>
      <c r="U29" s="103"/>
      <c r="V29" s="103"/>
      <c r="W29" s="103"/>
    </row>
    <row r="30" spans="1:23">
      <c r="A30" s="103"/>
      <c r="B30" s="103"/>
      <c r="C30" s="103"/>
      <c r="D30" s="103"/>
      <c r="E30" s="103"/>
      <c r="F30" s="103"/>
      <c r="G30" s="103"/>
      <c r="H30" s="103"/>
      <c r="I30" s="103"/>
      <c r="J30" s="103"/>
      <c r="K30" s="103"/>
      <c r="L30" s="103"/>
      <c r="M30" s="103"/>
      <c r="N30" s="103"/>
      <c r="O30" s="103"/>
      <c r="P30" s="103"/>
      <c r="Q30" s="103"/>
      <c r="R30" s="103"/>
      <c r="S30" s="103"/>
      <c r="T30" s="103"/>
      <c r="U30" s="103"/>
      <c r="V30" s="103"/>
      <c r="W30" s="103"/>
    </row>
    <row r="31" spans="1:23">
      <c r="A31" s="103"/>
      <c r="B31" s="103"/>
      <c r="C31" s="103"/>
      <c r="D31" s="103"/>
      <c r="E31" s="103"/>
      <c r="F31" s="103"/>
      <c r="G31" s="103"/>
      <c r="H31" s="103"/>
      <c r="I31" s="103"/>
      <c r="J31" s="103"/>
      <c r="K31" s="103"/>
      <c r="L31" s="103"/>
      <c r="M31" s="103"/>
      <c r="N31" s="103"/>
      <c r="O31" s="103"/>
      <c r="P31" s="103"/>
      <c r="Q31" s="103"/>
      <c r="R31" s="103"/>
      <c r="S31" s="103"/>
      <c r="T31" s="103"/>
      <c r="U31" s="103"/>
      <c r="V31" s="103"/>
      <c r="W31" s="103"/>
    </row>
    <row r="32" spans="1:23">
      <c r="A32" s="103"/>
      <c r="B32" s="103"/>
      <c r="C32" s="103"/>
      <c r="D32" s="103"/>
      <c r="E32" s="103"/>
      <c r="F32" s="103"/>
      <c r="G32" s="103"/>
      <c r="H32" s="103"/>
      <c r="I32" s="103"/>
      <c r="J32" s="103"/>
      <c r="K32" s="103"/>
      <c r="L32" s="103"/>
      <c r="M32" s="103"/>
      <c r="N32" s="103"/>
      <c r="O32" s="103"/>
      <c r="P32" s="103"/>
      <c r="Q32" s="103"/>
      <c r="R32" s="103"/>
      <c r="S32" s="103"/>
      <c r="T32" s="103"/>
      <c r="U32" s="103"/>
      <c r="V32" s="103"/>
      <c r="W32" s="103"/>
    </row>
    <row r="33" spans="1:23">
      <c r="A33" s="103"/>
      <c r="B33" s="103"/>
      <c r="C33" s="103"/>
      <c r="D33" s="103"/>
      <c r="E33" s="103"/>
      <c r="F33" s="103"/>
      <c r="G33" s="103"/>
      <c r="H33" s="103"/>
      <c r="I33" s="103"/>
      <c r="J33" s="103"/>
      <c r="K33" s="103"/>
      <c r="L33" s="103"/>
      <c r="M33" s="103"/>
      <c r="N33" s="103"/>
      <c r="O33" s="103"/>
      <c r="P33" s="103"/>
      <c r="Q33" s="103"/>
      <c r="R33" s="103"/>
      <c r="S33" s="103"/>
      <c r="T33" s="103"/>
      <c r="U33" s="103"/>
      <c r="V33" s="103"/>
      <c r="W33" s="103"/>
    </row>
    <row r="34" spans="1:23">
      <c r="A34" s="103"/>
      <c r="B34" s="103"/>
      <c r="C34" s="103"/>
      <c r="D34" s="103"/>
      <c r="E34" s="103"/>
      <c r="F34" s="103"/>
      <c r="G34" s="103"/>
      <c r="H34" s="103"/>
      <c r="I34" s="103"/>
      <c r="J34" s="103"/>
      <c r="K34" s="103"/>
      <c r="L34" s="103"/>
      <c r="M34" s="103"/>
      <c r="N34" s="103"/>
      <c r="O34" s="103"/>
      <c r="P34" s="103"/>
      <c r="Q34" s="103"/>
      <c r="R34" s="103"/>
      <c r="S34" s="103"/>
      <c r="T34" s="103"/>
      <c r="U34" s="103"/>
      <c r="V34" s="103"/>
      <c r="W34" s="10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4960F-DE4D-489F-877F-CED276714D98}">
  <sheetPr codeName="Sheet11">
    <tabColor theme="7" tint="-9.9978637043366805E-2"/>
  </sheetPr>
  <dimension ref="A1:O33"/>
  <sheetViews>
    <sheetView showGridLines="0" tabSelected="1" zoomScaleNormal="100" workbookViewId="0">
      <selection activeCell="F18" sqref="F18"/>
    </sheetView>
  </sheetViews>
  <sheetFormatPr defaultRowHeight="14.45"/>
  <cols>
    <col min="1" max="1" width="2.42578125" customWidth="1"/>
    <col min="2" max="2" width="1.85546875" customWidth="1"/>
    <col min="3" max="3" width="9.28515625" customWidth="1"/>
    <col min="4" max="4" width="14.140625" style="211" bestFit="1" customWidth="1"/>
    <col min="5" max="6" width="20.7109375" customWidth="1"/>
    <col min="7" max="7" width="15.140625" customWidth="1"/>
    <col min="8" max="8" width="17.28515625" customWidth="1"/>
    <col min="9" max="9" width="3.140625" customWidth="1"/>
    <col min="10" max="10" width="4.5703125" customWidth="1"/>
    <col min="11" max="12" width="28" customWidth="1"/>
    <col min="13" max="13" width="25.7109375" customWidth="1"/>
    <col min="14" max="14" width="6.28515625" customWidth="1"/>
  </cols>
  <sheetData>
    <row r="1" spans="1:15" ht="27.95" customHeight="1">
      <c r="A1" s="3"/>
      <c r="B1" s="4" t="s">
        <v>2</v>
      </c>
      <c r="C1" s="4"/>
      <c r="D1" s="205"/>
      <c r="E1" s="4"/>
      <c r="F1" s="4"/>
      <c r="G1" s="4"/>
      <c r="H1" s="4"/>
      <c r="I1" s="3"/>
      <c r="J1" s="255" t="s">
        <v>3</v>
      </c>
      <c r="K1" s="255"/>
      <c r="L1" s="255"/>
      <c r="M1" s="255"/>
      <c r="N1" s="242"/>
      <c r="O1" s="3"/>
    </row>
    <row r="2" spans="1:15" ht="30.6" customHeight="1" thickBot="1">
      <c r="A2" s="3"/>
      <c r="B2" s="5" t="s">
        <v>4</v>
      </c>
      <c r="C2" s="5"/>
      <c r="D2" s="206"/>
      <c r="E2" s="5"/>
      <c r="F2" s="5"/>
      <c r="G2" s="5"/>
      <c r="H2" s="5"/>
      <c r="I2" s="5"/>
      <c r="J2" s="256" t="s">
        <v>5</v>
      </c>
      <c r="K2" s="256"/>
      <c r="L2" s="256"/>
      <c r="M2" s="256"/>
      <c r="N2" s="243"/>
      <c r="O2" s="3"/>
    </row>
    <row r="3" spans="1:15" ht="15" thickBot="1">
      <c r="A3" s="3"/>
      <c r="B3" s="257" t="s">
        <v>6</v>
      </c>
      <c r="C3" s="258"/>
      <c r="D3" s="259"/>
      <c r="E3" s="203">
        <v>44694</v>
      </c>
      <c r="F3" s="47" t="s">
        <v>7</v>
      </c>
      <c r="G3" s="3"/>
      <c r="H3" s="3"/>
      <c r="I3" s="3"/>
      <c r="J3" s="253" t="s">
        <v>8</v>
      </c>
      <c r="K3" s="254"/>
      <c r="L3" s="202">
        <f>SUM(D6:D30)</f>
        <v>53</v>
      </c>
      <c r="M3" s="3"/>
      <c r="N3" s="3"/>
      <c r="O3" s="3"/>
    </row>
    <row r="4" spans="1:15" ht="15" thickBot="1">
      <c r="A4" s="3"/>
      <c r="B4" s="3"/>
      <c r="C4" s="3"/>
      <c r="D4" s="247"/>
      <c r="E4" s="3"/>
      <c r="F4" s="3"/>
      <c r="G4" s="3"/>
      <c r="H4" s="3"/>
      <c r="I4" s="3"/>
      <c r="J4" s="3"/>
      <c r="K4" s="3"/>
      <c r="L4" s="3"/>
      <c r="M4" s="3"/>
      <c r="N4" s="3"/>
      <c r="O4" s="3"/>
    </row>
    <row r="5" spans="1:15" ht="15" thickBot="1">
      <c r="A5" s="3"/>
      <c r="B5" s="260" t="s">
        <v>9</v>
      </c>
      <c r="C5" s="261"/>
      <c r="D5" s="207" t="s">
        <v>10</v>
      </c>
      <c r="E5" s="15" t="s">
        <v>11</v>
      </c>
      <c r="F5" s="15" t="s">
        <v>12</v>
      </c>
      <c r="G5" s="15" t="s">
        <v>13</v>
      </c>
      <c r="H5" s="16" t="s">
        <v>14</v>
      </c>
      <c r="I5" s="3"/>
      <c r="J5" s="11" t="s">
        <v>15</v>
      </c>
      <c r="K5" s="12" t="s">
        <v>16</v>
      </c>
      <c r="L5" s="12" t="s">
        <v>17</v>
      </c>
      <c r="M5" s="12" t="s">
        <v>18</v>
      </c>
      <c r="N5" s="13" t="s">
        <v>19</v>
      </c>
      <c r="O5" s="3"/>
    </row>
    <row r="6" spans="1:15" ht="15">
      <c r="A6" s="3"/>
      <c r="B6" s="8" t="s">
        <v>20</v>
      </c>
      <c r="C6" s="187">
        <v>1</v>
      </c>
      <c r="D6" s="208">
        <v>3</v>
      </c>
      <c r="E6" s="188" t="s">
        <v>21</v>
      </c>
      <c r="F6" s="188" t="s">
        <v>22</v>
      </c>
      <c r="G6" s="188"/>
      <c r="H6" s="189"/>
      <c r="I6" s="3"/>
      <c r="J6" s="20">
        <v>1</v>
      </c>
      <c r="K6" s="21">
        <f>IFERROR(E3," ")</f>
        <v>44694</v>
      </c>
      <c r="L6" s="21">
        <f>IFERROR(IF(J6=C6,K6+D6,K6+VLOOKUP(J6,$C$6:$D$30,2,FALSE))," ")</f>
        <v>44697</v>
      </c>
      <c r="M6" s="9" t="str">
        <f>IFERROR(IF(N6=0," ",IF(J6=C6,CONCATENATE(E6,", ",F6),CONCATENATE(VLOOKUP(J6,$C$6:$F$30,3,FALSE),", ",VLOOKUP(J6,$C$6:$F$30,4,FALSE))))," ")</f>
        <v>Zurich, Switzerland</v>
      </c>
      <c r="N6" s="10">
        <f>IFERROR(VLOOKUP(J6,$C$6:$F$30,2,FALSE)," ")</f>
        <v>3</v>
      </c>
      <c r="O6" s="3"/>
    </row>
    <row r="7" spans="1:15" ht="15">
      <c r="A7" s="3"/>
      <c r="B7" s="6" t="s">
        <v>20</v>
      </c>
      <c r="C7" s="190">
        <v>2</v>
      </c>
      <c r="D7" s="209">
        <v>3</v>
      </c>
      <c r="E7" s="191" t="s">
        <v>23</v>
      </c>
      <c r="F7" s="188" t="s">
        <v>22</v>
      </c>
      <c r="G7" s="188"/>
      <c r="H7" s="192"/>
      <c r="I7" s="3"/>
      <c r="J7" s="17">
        <v>2</v>
      </c>
      <c r="K7" s="119">
        <f>IFERROR(IF(N6=0," ",L6)," ")</f>
        <v>44697</v>
      </c>
      <c r="L7" s="119">
        <f t="shared" ref="L7:L30" si="0">IFERROR(IF(J7=C7,K7+D7,K7+VLOOKUP(J7,$C$6:$D$30,2,FALSE))," ")</f>
        <v>44700</v>
      </c>
      <c r="M7" s="9" t="str">
        <f t="shared" ref="M7:M30" si="1">IFERROR(IF(N7=0," ",IF(J7=C7,CONCATENATE(E7,", ",F7),CONCATENATE(VLOOKUP(J7,$C$6:$F$30,3,FALSE),", ",VLOOKUP(J7,$C$6:$F$30,4,FALSE))))," ")</f>
        <v>Lucerne, Switzerland</v>
      </c>
      <c r="N7" s="10">
        <f t="shared" ref="N7:N30" si="2">IFERROR(VLOOKUP(J7,$C$6:$F$30,2,FALSE)," ")</f>
        <v>3</v>
      </c>
      <c r="O7" s="3"/>
    </row>
    <row r="8" spans="1:15" ht="15">
      <c r="A8" s="3"/>
      <c r="B8" s="6" t="s">
        <v>20</v>
      </c>
      <c r="C8" s="190">
        <v>4</v>
      </c>
      <c r="D8" s="209">
        <v>7</v>
      </c>
      <c r="E8" s="191" t="s">
        <v>24</v>
      </c>
      <c r="F8" s="188" t="s">
        <v>22</v>
      </c>
      <c r="G8" s="188"/>
      <c r="H8" s="192"/>
      <c r="I8" s="3"/>
      <c r="J8" s="17">
        <v>3</v>
      </c>
      <c r="K8" s="119">
        <f t="shared" ref="K8:K30" si="3">IFERROR(IF(N7=0," ",L7)," ")</f>
        <v>44700</v>
      </c>
      <c r="L8" s="119">
        <f t="shared" si="0"/>
        <v>44704</v>
      </c>
      <c r="M8" s="9" t="str">
        <f t="shared" si="1"/>
        <v>Salzburg, Austria</v>
      </c>
      <c r="N8" s="10">
        <f t="shared" si="2"/>
        <v>4</v>
      </c>
      <c r="O8" s="3"/>
    </row>
    <row r="9" spans="1:15" ht="15">
      <c r="A9" s="3"/>
      <c r="B9" s="6" t="s">
        <v>20</v>
      </c>
      <c r="C9" s="187">
        <v>3</v>
      </c>
      <c r="D9" s="209">
        <v>4</v>
      </c>
      <c r="E9" s="191" t="s">
        <v>25</v>
      </c>
      <c r="F9" s="191" t="s">
        <v>26</v>
      </c>
      <c r="G9" s="188"/>
      <c r="H9" s="192"/>
      <c r="I9" s="3"/>
      <c r="J9" s="17">
        <v>4</v>
      </c>
      <c r="K9" s="119">
        <f t="shared" si="3"/>
        <v>44704</v>
      </c>
      <c r="L9" s="119">
        <f t="shared" si="0"/>
        <v>44711</v>
      </c>
      <c r="M9" s="9" t="str">
        <f t="shared" si="1"/>
        <v>Interlaken, Switzerland</v>
      </c>
      <c r="N9" s="10">
        <f t="shared" si="2"/>
        <v>7</v>
      </c>
      <c r="O9" s="3"/>
    </row>
    <row r="10" spans="1:15" ht="15">
      <c r="A10" s="3"/>
      <c r="B10" s="6" t="s">
        <v>20</v>
      </c>
      <c r="C10" s="190">
        <v>5</v>
      </c>
      <c r="D10" s="209">
        <v>1</v>
      </c>
      <c r="E10" s="191" t="s">
        <v>27</v>
      </c>
      <c r="F10" s="191" t="s">
        <v>26</v>
      </c>
      <c r="G10" s="188"/>
      <c r="H10" s="192"/>
      <c r="I10" s="3"/>
      <c r="J10" s="17">
        <v>5</v>
      </c>
      <c r="K10" s="119">
        <f t="shared" si="3"/>
        <v>44711</v>
      </c>
      <c r="L10" s="119">
        <f t="shared" si="0"/>
        <v>44712</v>
      </c>
      <c r="M10" s="9" t="str">
        <f t="shared" si="1"/>
        <v>Halstatt, Austria</v>
      </c>
      <c r="N10" s="10">
        <f t="shared" si="2"/>
        <v>1</v>
      </c>
      <c r="O10" s="3"/>
    </row>
    <row r="11" spans="1:15" ht="15">
      <c r="A11" s="3"/>
      <c r="B11" s="6" t="s">
        <v>20</v>
      </c>
      <c r="C11" s="190">
        <v>6</v>
      </c>
      <c r="D11" s="209">
        <v>3</v>
      </c>
      <c r="E11" s="191" t="s">
        <v>28</v>
      </c>
      <c r="F11" s="191" t="s">
        <v>29</v>
      </c>
      <c r="G11" s="191"/>
      <c r="H11" s="192"/>
      <c r="I11" s="3"/>
      <c r="J11" s="17">
        <v>6</v>
      </c>
      <c r="K11" s="119">
        <f t="shared" si="3"/>
        <v>44712</v>
      </c>
      <c r="L11" s="119">
        <f t="shared" si="0"/>
        <v>44715</v>
      </c>
      <c r="M11" s="9" t="str">
        <f t="shared" si="1"/>
        <v>Munich, Germany</v>
      </c>
      <c r="N11" s="10">
        <f t="shared" si="2"/>
        <v>3</v>
      </c>
      <c r="O11" s="3"/>
    </row>
    <row r="12" spans="1:15" ht="15">
      <c r="A12" s="3"/>
      <c r="B12" s="6" t="s">
        <v>20</v>
      </c>
      <c r="C12" s="190">
        <v>7</v>
      </c>
      <c r="D12" s="209">
        <v>5</v>
      </c>
      <c r="E12" s="193" t="s">
        <v>30</v>
      </c>
      <c r="F12" s="193" t="s">
        <v>29</v>
      </c>
      <c r="G12" s="191"/>
      <c r="H12" s="192"/>
      <c r="I12" s="3"/>
      <c r="J12" s="17">
        <v>7</v>
      </c>
      <c r="K12" s="119">
        <f t="shared" si="3"/>
        <v>44715</v>
      </c>
      <c r="L12" s="119">
        <f t="shared" si="0"/>
        <v>44720</v>
      </c>
      <c r="M12" s="9" t="str">
        <f t="shared" si="1"/>
        <v>Berlin, Germany</v>
      </c>
      <c r="N12" s="10">
        <f t="shared" si="2"/>
        <v>5</v>
      </c>
      <c r="O12" s="3"/>
    </row>
    <row r="13" spans="1:15" ht="15">
      <c r="A13" s="3"/>
      <c r="B13" s="6" t="s">
        <v>20</v>
      </c>
      <c r="C13" s="190">
        <v>8</v>
      </c>
      <c r="D13" s="209">
        <v>5</v>
      </c>
      <c r="E13" s="191" t="s">
        <v>31</v>
      </c>
      <c r="F13" s="191" t="s">
        <v>32</v>
      </c>
      <c r="G13" s="191"/>
      <c r="H13" s="192"/>
      <c r="I13" s="3"/>
      <c r="J13" s="17">
        <v>8</v>
      </c>
      <c r="K13" s="119">
        <f t="shared" si="3"/>
        <v>44720</v>
      </c>
      <c r="L13" s="119">
        <f t="shared" si="0"/>
        <v>44725</v>
      </c>
      <c r="M13" s="9" t="str">
        <f t="shared" si="1"/>
        <v>Amsterdam, Netherlands</v>
      </c>
      <c r="N13" s="10">
        <f t="shared" si="2"/>
        <v>5</v>
      </c>
      <c r="O13" s="3"/>
    </row>
    <row r="14" spans="1:15" ht="15">
      <c r="A14" s="3"/>
      <c r="B14" s="6" t="s">
        <v>20</v>
      </c>
      <c r="C14" s="190">
        <v>9</v>
      </c>
      <c r="D14" s="209">
        <v>4</v>
      </c>
      <c r="E14" s="191" t="s">
        <v>33</v>
      </c>
      <c r="F14" s="191" t="s">
        <v>34</v>
      </c>
      <c r="G14" s="191"/>
      <c r="H14" s="192"/>
      <c r="I14" s="3"/>
      <c r="J14" s="17">
        <v>9</v>
      </c>
      <c r="K14" s="119">
        <f t="shared" si="3"/>
        <v>44725</v>
      </c>
      <c r="L14" s="119">
        <f t="shared" si="0"/>
        <v>44729</v>
      </c>
      <c r="M14" s="9" t="str">
        <f t="shared" si="1"/>
        <v>Copenhagen, Denmark</v>
      </c>
      <c r="N14" s="10">
        <f t="shared" si="2"/>
        <v>4</v>
      </c>
      <c r="O14" s="3"/>
    </row>
    <row r="15" spans="1:15" ht="15">
      <c r="A15" s="3"/>
      <c r="B15" s="6" t="s">
        <v>20</v>
      </c>
      <c r="C15" s="190">
        <v>10</v>
      </c>
      <c r="D15" s="209">
        <v>6</v>
      </c>
      <c r="E15" s="191" t="s">
        <v>35</v>
      </c>
      <c r="F15" s="191" t="s">
        <v>36</v>
      </c>
      <c r="G15" s="191"/>
      <c r="H15" s="192"/>
      <c r="I15" s="3"/>
      <c r="J15" s="17">
        <v>10</v>
      </c>
      <c r="K15" s="119">
        <f t="shared" si="3"/>
        <v>44729</v>
      </c>
      <c r="L15" s="119">
        <f t="shared" si="0"/>
        <v>44735</v>
      </c>
      <c r="M15" s="9" t="str">
        <f t="shared" si="1"/>
        <v>Dublin, Ireland</v>
      </c>
      <c r="N15" s="10">
        <f t="shared" si="2"/>
        <v>6</v>
      </c>
      <c r="O15" s="3"/>
    </row>
    <row r="16" spans="1:15" ht="15">
      <c r="A16" s="3"/>
      <c r="B16" s="6" t="s">
        <v>20</v>
      </c>
      <c r="C16" s="190">
        <v>11</v>
      </c>
      <c r="D16" s="209">
        <v>5</v>
      </c>
      <c r="E16" s="191" t="s">
        <v>37</v>
      </c>
      <c r="F16" s="191" t="s">
        <v>38</v>
      </c>
      <c r="G16" s="191"/>
      <c r="H16" s="192"/>
      <c r="I16" s="3"/>
      <c r="J16" s="17">
        <v>11</v>
      </c>
      <c r="K16" s="119">
        <f t="shared" si="3"/>
        <v>44735</v>
      </c>
      <c r="L16" s="119">
        <f t="shared" si="0"/>
        <v>44740</v>
      </c>
      <c r="M16" s="9" t="str">
        <f t="shared" si="1"/>
        <v>Edinburgh, Scotland</v>
      </c>
      <c r="N16" s="10">
        <f t="shared" si="2"/>
        <v>5</v>
      </c>
      <c r="O16" s="3"/>
    </row>
    <row r="17" spans="1:15" ht="15">
      <c r="A17" s="3"/>
      <c r="B17" s="6" t="s">
        <v>20</v>
      </c>
      <c r="C17" s="190">
        <v>12</v>
      </c>
      <c r="D17" s="209">
        <v>7</v>
      </c>
      <c r="E17" s="191" t="s">
        <v>39</v>
      </c>
      <c r="F17" s="191" t="s">
        <v>40</v>
      </c>
      <c r="G17" s="191"/>
      <c r="H17" s="192"/>
      <c r="I17" s="3"/>
      <c r="J17" s="17">
        <v>12</v>
      </c>
      <c r="K17" s="119">
        <f t="shared" si="3"/>
        <v>44740</v>
      </c>
      <c r="L17" s="119">
        <f t="shared" si="0"/>
        <v>44747</v>
      </c>
      <c r="M17" s="9" t="str">
        <f t="shared" si="1"/>
        <v>London, England</v>
      </c>
      <c r="N17" s="10">
        <f t="shared" si="2"/>
        <v>7</v>
      </c>
      <c r="O17" s="3"/>
    </row>
    <row r="18" spans="1:15" ht="15">
      <c r="A18" s="3"/>
      <c r="B18" s="6" t="s">
        <v>20</v>
      </c>
      <c r="C18" s="190">
        <v>13</v>
      </c>
      <c r="D18" s="209"/>
      <c r="E18" s="191"/>
      <c r="F18" s="191"/>
      <c r="G18" s="191"/>
      <c r="H18" s="192"/>
      <c r="I18" s="3"/>
      <c r="J18" s="17">
        <v>13</v>
      </c>
      <c r="K18" s="119">
        <f t="shared" si="3"/>
        <v>44747</v>
      </c>
      <c r="L18" s="119">
        <f t="shared" si="0"/>
        <v>44747</v>
      </c>
      <c r="M18" s="9" t="str">
        <f t="shared" si="1"/>
        <v xml:space="preserve"> </v>
      </c>
      <c r="N18" s="10">
        <f>IFERROR(VLOOKUP(J18,$C$6:$F$30,2,FALSE)," ")</f>
        <v>0</v>
      </c>
      <c r="O18" s="3"/>
    </row>
    <row r="19" spans="1:15">
      <c r="A19" s="3"/>
      <c r="B19" s="6" t="s">
        <v>20</v>
      </c>
      <c r="C19" s="190">
        <v>14</v>
      </c>
      <c r="D19" s="209"/>
      <c r="E19" s="191"/>
      <c r="F19" s="191"/>
      <c r="G19" s="191"/>
      <c r="H19" s="192"/>
      <c r="I19" s="3"/>
      <c r="J19" s="17">
        <v>14</v>
      </c>
      <c r="K19" s="119" t="str">
        <f t="shared" si="3"/>
        <v xml:space="preserve"> </v>
      </c>
      <c r="L19" s="119" t="str">
        <f t="shared" si="0"/>
        <v xml:space="preserve"> </v>
      </c>
      <c r="M19" s="9" t="str">
        <f t="shared" si="1"/>
        <v xml:space="preserve"> </v>
      </c>
      <c r="N19" s="10">
        <f t="shared" si="2"/>
        <v>0</v>
      </c>
      <c r="O19" s="3"/>
    </row>
    <row r="20" spans="1:15">
      <c r="A20" s="3"/>
      <c r="B20" s="6" t="s">
        <v>20</v>
      </c>
      <c r="C20" s="190">
        <v>15</v>
      </c>
      <c r="D20" s="209"/>
      <c r="E20" s="191"/>
      <c r="F20" s="191"/>
      <c r="G20" s="191"/>
      <c r="H20" s="192"/>
      <c r="I20" s="3"/>
      <c r="J20" s="17">
        <v>15</v>
      </c>
      <c r="K20" s="119" t="str">
        <f t="shared" si="3"/>
        <v xml:space="preserve"> </v>
      </c>
      <c r="L20" s="119" t="str">
        <f t="shared" si="0"/>
        <v xml:space="preserve"> </v>
      </c>
      <c r="M20" s="9" t="str">
        <f t="shared" si="1"/>
        <v xml:space="preserve"> </v>
      </c>
      <c r="N20" s="10">
        <f t="shared" si="2"/>
        <v>0</v>
      </c>
      <c r="O20" s="3"/>
    </row>
    <row r="21" spans="1:15">
      <c r="A21" s="3"/>
      <c r="B21" s="6" t="s">
        <v>20</v>
      </c>
      <c r="C21" s="190">
        <v>16</v>
      </c>
      <c r="D21" s="209"/>
      <c r="E21" s="191"/>
      <c r="F21" s="191"/>
      <c r="G21" s="191"/>
      <c r="H21" s="192"/>
      <c r="I21" s="3"/>
      <c r="J21" s="17">
        <v>16</v>
      </c>
      <c r="K21" s="119" t="str">
        <f t="shared" si="3"/>
        <v xml:space="preserve"> </v>
      </c>
      <c r="L21" s="119" t="str">
        <f t="shared" si="0"/>
        <v xml:space="preserve"> </v>
      </c>
      <c r="M21" s="9" t="str">
        <f t="shared" si="1"/>
        <v xml:space="preserve"> </v>
      </c>
      <c r="N21" s="10">
        <f t="shared" si="2"/>
        <v>0</v>
      </c>
      <c r="O21" s="3"/>
    </row>
    <row r="22" spans="1:15">
      <c r="A22" s="3"/>
      <c r="B22" s="6" t="s">
        <v>20</v>
      </c>
      <c r="C22" s="190">
        <v>17</v>
      </c>
      <c r="D22" s="209"/>
      <c r="E22" s="191"/>
      <c r="F22" s="191"/>
      <c r="G22" s="191"/>
      <c r="H22" s="192"/>
      <c r="I22" s="3"/>
      <c r="J22" s="17">
        <v>17</v>
      </c>
      <c r="K22" s="119" t="str">
        <f t="shared" si="3"/>
        <v xml:space="preserve"> </v>
      </c>
      <c r="L22" s="119" t="str">
        <f t="shared" si="0"/>
        <v xml:space="preserve"> </v>
      </c>
      <c r="M22" s="9" t="str">
        <f t="shared" si="1"/>
        <v xml:space="preserve"> </v>
      </c>
      <c r="N22" s="10">
        <f t="shared" si="2"/>
        <v>0</v>
      </c>
      <c r="O22" s="3"/>
    </row>
    <row r="23" spans="1:15">
      <c r="A23" s="3"/>
      <c r="B23" s="6" t="s">
        <v>20</v>
      </c>
      <c r="C23" s="190">
        <v>18</v>
      </c>
      <c r="D23" s="209"/>
      <c r="E23" s="191"/>
      <c r="F23" s="191"/>
      <c r="G23" s="191"/>
      <c r="H23" s="192"/>
      <c r="I23" s="3"/>
      <c r="J23" s="17">
        <v>18</v>
      </c>
      <c r="K23" s="119" t="str">
        <f t="shared" si="3"/>
        <v xml:space="preserve"> </v>
      </c>
      <c r="L23" s="119" t="str">
        <f t="shared" si="0"/>
        <v xml:space="preserve"> </v>
      </c>
      <c r="M23" s="9" t="str">
        <f t="shared" si="1"/>
        <v xml:space="preserve"> </v>
      </c>
      <c r="N23" s="10">
        <f t="shared" si="2"/>
        <v>0</v>
      </c>
      <c r="O23" s="3"/>
    </row>
    <row r="24" spans="1:15">
      <c r="A24" s="3"/>
      <c r="B24" s="6" t="s">
        <v>20</v>
      </c>
      <c r="C24" s="190">
        <v>19</v>
      </c>
      <c r="D24" s="209"/>
      <c r="E24" s="191"/>
      <c r="F24" s="191"/>
      <c r="G24" s="191"/>
      <c r="H24" s="192"/>
      <c r="I24" s="3"/>
      <c r="J24" s="17">
        <v>19</v>
      </c>
      <c r="K24" s="119" t="str">
        <f t="shared" si="3"/>
        <v xml:space="preserve"> </v>
      </c>
      <c r="L24" s="119" t="str">
        <f t="shared" si="0"/>
        <v xml:space="preserve"> </v>
      </c>
      <c r="M24" s="9" t="str">
        <f t="shared" si="1"/>
        <v xml:space="preserve"> </v>
      </c>
      <c r="N24" s="10">
        <f t="shared" si="2"/>
        <v>0</v>
      </c>
      <c r="O24" s="3"/>
    </row>
    <row r="25" spans="1:15">
      <c r="A25" s="3"/>
      <c r="B25" s="6" t="s">
        <v>20</v>
      </c>
      <c r="C25" s="190">
        <v>20</v>
      </c>
      <c r="D25" s="209"/>
      <c r="E25" s="191"/>
      <c r="F25" s="191"/>
      <c r="G25" s="191"/>
      <c r="H25" s="192"/>
      <c r="I25" s="3"/>
      <c r="J25" s="17">
        <v>20</v>
      </c>
      <c r="K25" s="119" t="str">
        <f t="shared" si="3"/>
        <v xml:space="preserve"> </v>
      </c>
      <c r="L25" s="119" t="str">
        <f t="shared" si="0"/>
        <v xml:space="preserve"> </v>
      </c>
      <c r="M25" s="9" t="str">
        <f t="shared" si="1"/>
        <v xml:space="preserve"> </v>
      </c>
      <c r="N25" s="10">
        <f t="shared" si="2"/>
        <v>0</v>
      </c>
      <c r="O25" s="3"/>
    </row>
    <row r="26" spans="1:15">
      <c r="A26" s="3"/>
      <c r="B26" s="6" t="s">
        <v>20</v>
      </c>
      <c r="C26" s="190">
        <v>21</v>
      </c>
      <c r="D26" s="209"/>
      <c r="E26" s="191"/>
      <c r="F26" s="191"/>
      <c r="G26" s="191"/>
      <c r="H26" s="192"/>
      <c r="I26" s="3"/>
      <c r="J26" s="17">
        <v>21</v>
      </c>
      <c r="K26" s="119" t="str">
        <f t="shared" si="3"/>
        <v xml:space="preserve"> </v>
      </c>
      <c r="L26" s="119" t="str">
        <f t="shared" si="0"/>
        <v xml:space="preserve"> </v>
      </c>
      <c r="M26" s="9" t="str">
        <f t="shared" si="1"/>
        <v xml:space="preserve"> </v>
      </c>
      <c r="N26" s="10">
        <f t="shared" si="2"/>
        <v>0</v>
      </c>
      <c r="O26" s="3"/>
    </row>
    <row r="27" spans="1:15">
      <c r="A27" s="3"/>
      <c r="B27" s="6" t="s">
        <v>20</v>
      </c>
      <c r="C27" s="190">
        <v>22</v>
      </c>
      <c r="D27" s="209"/>
      <c r="E27" s="191"/>
      <c r="F27" s="191"/>
      <c r="G27" s="191"/>
      <c r="H27" s="192"/>
      <c r="I27" s="3"/>
      <c r="J27" s="17">
        <v>22</v>
      </c>
      <c r="K27" s="119" t="str">
        <f t="shared" si="3"/>
        <v xml:space="preserve"> </v>
      </c>
      <c r="L27" s="119" t="str">
        <f t="shared" si="0"/>
        <v xml:space="preserve"> </v>
      </c>
      <c r="M27" s="9" t="str">
        <f t="shared" si="1"/>
        <v xml:space="preserve"> </v>
      </c>
      <c r="N27" s="10">
        <f t="shared" si="2"/>
        <v>0</v>
      </c>
      <c r="O27" s="3"/>
    </row>
    <row r="28" spans="1:15">
      <c r="A28" s="3"/>
      <c r="B28" s="6" t="s">
        <v>20</v>
      </c>
      <c r="C28" s="190">
        <v>23</v>
      </c>
      <c r="D28" s="209"/>
      <c r="E28" s="191"/>
      <c r="F28" s="191"/>
      <c r="G28" s="191"/>
      <c r="H28" s="192"/>
      <c r="I28" s="3"/>
      <c r="J28" s="17">
        <v>23</v>
      </c>
      <c r="K28" s="119" t="str">
        <f t="shared" si="3"/>
        <v xml:space="preserve"> </v>
      </c>
      <c r="L28" s="119" t="str">
        <f t="shared" si="0"/>
        <v xml:space="preserve"> </v>
      </c>
      <c r="M28" s="9" t="str">
        <f t="shared" si="1"/>
        <v xml:space="preserve"> </v>
      </c>
      <c r="N28" s="10">
        <f t="shared" si="2"/>
        <v>0</v>
      </c>
      <c r="O28" s="3"/>
    </row>
    <row r="29" spans="1:15">
      <c r="A29" s="3"/>
      <c r="B29" s="6" t="s">
        <v>20</v>
      </c>
      <c r="C29" s="190">
        <v>24</v>
      </c>
      <c r="D29" s="209"/>
      <c r="E29" s="191"/>
      <c r="F29" s="191"/>
      <c r="G29" s="191"/>
      <c r="H29" s="192"/>
      <c r="I29" s="3"/>
      <c r="J29" s="17">
        <v>24</v>
      </c>
      <c r="K29" s="119" t="str">
        <f t="shared" si="3"/>
        <v xml:space="preserve"> </v>
      </c>
      <c r="L29" s="119" t="str">
        <f t="shared" si="0"/>
        <v xml:space="preserve"> </v>
      </c>
      <c r="M29" s="9" t="str">
        <f t="shared" si="1"/>
        <v xml:space="preserve"> </v>
      </c>
      <c r="N29" s="10">
        <f t="shared" si="2"/>
        <v>0</v>
      </c>
      <c r="O29" s="3"/>
    </row>
    <row r="30" spans="1:15" ht="15" thickBot="1">
      <c r="A30" s="3"/>
      <c r="B30" s="7" t="s">
        <v>20</v>
      </c>
      <c r="C30" s="194">
        <v>25</v>
      </c>
      <c r="D30" s="210"/>
      <c r="E30" s="195"/>
      <c r="F30" s="195"/>
      <c r="G30" s="195"/>
      <c r="H30" s="196"/>
      <c r="I30" s="3"/>
      <c r="J30" s="18">
        <v>25</v>
      </c>
      <c r="K30" s="120" t="str">
        <f t="shared" si="3"/>
        <v xml:space="preserve"> </v>
      </c>
      <c r="L30" s="120" t="str">
        <f t="shared" si="0"/>
        <v xml:space="preserve"> </v>
      </c>
      <c r="M30" s="131" t="str">
        <f t="shared" si="1"/>
        <v xml:space="preserve"> </v>
      </c>
      <c r="N30" s="19">
        <f t="shared" si="2"/>
        <v>0</v>
      </c>
      <c r="O30" s="3"/>
    </row>
    <row r="31" spans="1:15">
      <c r="A31" s="3"/>
      <c r="B31" s="3"/>
      <c r="C31" s="3"/>
      <c r="D31" s="247"/>
      <c r="E31" s="3"/>
      <c r="F31" s="3"/>
      <c r="G31" s="3"/>
      <c r="H31" s="3"/>
      <c r="I31" s="3"/>
      <c r="J31" s="3"/>
      <c r="K31" s="3"/>
      <c r="L31" s="3"/>
      <c r="M31" s="3"/>
      <c r="N31" s="3"/>
      <c r="O31" s="3"/>
    </row>
    <row r="32" spans="1:15">
      <c r="A32" s="3"/>
      <c r="B32" s="3"/>
      <c r="C32" s="3"/>
      <c r="D32" s="247"/>
      <c r="E32" s="3"/>
      <c r="F32" s="3"/>
      <c r="G32" s="3"/>
      <c r="H32" s="3"/>
      <c r="I32" s="3"/>
      <c r="J32" s="3"/>
      <c r="K32" s="3"/>
      <c r="L32" s="3"/>
      <c r="M32" s="3"/>
      <c r="N32" s="3"/>
      <c r="O32" s="3"/>
    </row>
    <row r="33" spans="1:15">
      <c r="A33" s="3"/>
      <c r="B33" s="3"/>
      <c r="C33" s="3"/>
      <c r="D33" s="247"/>
      <c r="E33" s="3"/>
      <c r="F33" s="3"/>
      <c r="G33" s="3"/>
      <c r="H33" s="3"/>
      <c r="I33" s="3"/>
      <c r="J33" s="3"/>
      <c r="K33" s="3"/>
      <c r="L33" s="3"/>
      <c r="M33" s="3"/>
      <c r="N33" s="3"/>
      <c r="O33" s="3"/>
    </row>
  </sheetData>
  <mergeCells count="5">
    <mergeCell ref="J3:K3"/>
    <mergeCell ref="J1:M1"/>
    <mergeCell ref="J2:M2"/>
    <mergeCell ref="B3:D3"/>
    <mergeCell ref="B5:C5"/>
  </mergeCells>
  <phoneticPr fontId="8" type="noConversion"/>
  <dataValidations count="2">
    <dataValidation allowBlank="1" showInputMessage="1" showErrorMessage="1" prompt="You don't have to fill this out its just for fun" sqref="G5" xr:uid="{4DC32901-4A1F-4047-B2FB-F21176D96ABA}"/>
    <dataValidation allowBlank="1" showInputMessage="1" showErrorMessage="1" prompt="Also just for fun." sqref="H5" xr:uid="{C61A4C45-07B7-4FC1-8973-9E4E8D82A532}"/>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6068D-7AE3-42A4-B9CB-663E9C9EE82B}">
  <sheetPr codeName="Sheet4">
    <tabColor theme="5"/>
    <pageSetUpPr autoPageBreaks="0" fitToPage="1"/>
  </sheetPr>
  <dimension ref="A1:N105"/>
  <sheetViews>
    <sheetView showGridLines="0" topLeftCell="A26" zoomScaleNormal="100" workbookViewId="0">
      <selection activeCell="B14" sqref="B14"/>
    </sheetView>
  </sheetViews>
  <sheetFormatPr defaultColWidth="8.7109375" defaultRowHeight="14.45"/>
  <cols>
    <col min="1" max="1" width="3.140625" style="22" customWidth="1"/>
    <col min="2" max="8" width="26.85546875" style="22" customWidth="1"/>
    <col min="9" max="9" width="9.5703125" style="22" customWidth="1"/>
    <col min="10" max="10" width="15.5703125" style="22" customWidth="1"/>
    <col min="11" max="11" width="13.5703125" style="22" customWidth="1"/>
    <col min="12" max="12" width="8.7109375" style="22"/>
    <col min="13" max="13" width="12.28515625" style="22" customWidth="1"/>
    <col min="14" max="16384" width="8.7109375" style="22"/>
  </cols>
  <sheetData>
    <row r="1" spans="1:14" ht="29.1" customHeight="1" thickBot="1">
      <c r="B1" s="23" t="s">
        <v>41</v>
      </c>
      <c r="F1" s="41" t="s">
        <v>42</v>
      </c>
    </row>
    <row r="2" spans="1:14" ht="15.95" thickBot="1">
      <c r="B2" s="24" t="s">
        <v>43</v>
      </c>
      <c r="C2" s="24"/>
      <c r="D2" s="24"/>
      <c r="F2" s="42" t="s">
        <v>16</v>
      </c>
      <c r="G2" s="42" t="s">
        <v>44</v>
      </c>
      <c r="H2" s="42" t="s">
        <v>45</v>
      </c>
      <c r="M2" s="22" t="s">
        <v>46</v>
      </c>
      <c r="N2" s="22">
        <f>IF((DreamStartMonth+1)&lt;=12,DreamStartMonth+1,1)</f>
        <v>6</v>
      </c>
    </row>
    <row r="3" spans="1:14" ht="15.95" thickBot="1">
      <c r="C3" s="24"/>
      <c r="D3" s="24"/>
      <c r="F3" s="61">
        <f>DreamStartDate</f>
        <v>44694</v>
      </c>
      <c r="G3" s="43">
        <f>YEAR(DreamStartDate)</f>
        <v>2022</v>
      </c>
      <c r="H3" s="44">
        <f>MONTH(DreamStartDate)</f>
        <v>5</v>
      </c>
      <c r="M3" s="22" t="s">
        <v>47</v>
      </c>
      <c r="N3" s="22">
        <f>IF((DreamStartMonth+2)&lt;=12,DreamStartMonth+2,IF((DreamStartMonth+2)&lt;=13,1,2))</f>
        <v>7</v>
      </c>
    </row>
    <row r="4" spans="1:14" ht="15.95" thickBot="1">
      <c r="C4" s="24"/>
      <c r="D4" s="24"/>
      <c r="F4" s="110"/>
      <c r="G4" s="111"/>
      <c r="H4" s="111"/>
    </row>
    <row r="5" spans="1:14" ht="21.6" customHeight="1" thickBot="1">
      <c r="B5" s="96" t="s">
        <v>48</v>
      </c>
      <c r="C5" s="24"/>
      <c r="D5" s="24"/>
      <c r="F5" s="110"/>
      <c r="G5" s="111"/>
      <c r="H5" s="111"/>
    </row>
    <row r="6" spans="1:14" ht="48.95" customHeight="1" thickBot="1">
      <c r="B6" s="150" t="s">
        <v>49</v>
      </c>
      <c r="C6" s="24"/>
      <c r="D6" s="151"/>
      <c r="F6" s="24"/>
      <c r="G6" s="24"/>
      <c r="H6" s="24"/>
    </row>
    <row r="7" spans="1:14" ht="15" thickBot="1">
      <c r="B7" s="152" t="s">
        <v>50</v>
      </c>
      <c r="C7" s="24"/>
      <c r="D7" s="151"/>
      <c r="F7" s="24"/>
      <c r="G7" s="24"/>
      <c r="H7" s="24"/>
    </row>
    <row r="8" spans="1:14" ht="15" thickBot="1">
      <c r="B8" s="153" t="s">
        <v>51</v>
      </c>
      <c r="F8" s="24"/>
      <c r="G8" s="24"/>
      <c r="H8" s="24"/>
    </row>
    <row r="9" spans="1:14">
      <c r="B9" s="22" t="s">
        <v>52</v>
      </c>
      <c r="E9" s="24"/>
      <c r="F9" s="24"/>
      <c r="G9" s="24"/>
    </row>
    <row r="10" spans="1:14" ht="45.6" thickBot="1">
      <c r="B10" s="123" t="str" cm="1">
        <f t="array" ref="B10">(_xlfn.IFS(H3=1,"January ",H3=2,"February ",H3=3,"March ",H3=4,"April ",H3=5,"May ",H3=6,"June ",H3=7,"July ",H3=8,"August ",H3=9,"September ",H3=10,"October ",H3=11,"November ",H3=12,"December "))&amp;YEAR(B17)</f>
        <v>May 2022</v>
      </c>
      <c r="C10" s="123"/>
      <c r="D10" s="245"/>
      <c r="E10" s="25"/>
      <c r="F10" s="25"/>
      <c r="G10" s="25"/>
      <c r="H10" s="26"/>
      <c r="K10" s="27"/>
    </row>
    <row r="11" spans="1:14" s="28" customFormat="1" ht="21.75" customHeight="1" thickBot="1">
      <c r="A11" s="22"/>
      <c r="B11" s="33" t="s">
        <v>53</v>
      </c>
      <c r="C11" s="96" t="s">
        <v>54</v>
      </c>
      <c r="D11" s="33" t="s">
        <v>55</v>
      </c>
      <c r="E11" s="96" t="s">
        <v>56</v>
      </c>
      <c r="F11" s="33" t="s">
        <v>57</v>
      </c>
      <c r="G11" s="96" t="s">
        <v>48</v>
      </c>
      <c r="H11" s="96" t="s">
        <v>58</v>
      </c>
      <c r="J11" s="29"/>
    </row>
    <row r="12" spans="1:14" s="30" customFormat="1" ht="19.5" customHeight="1">
      <c r="A12" s="22"/>
      <c r="B12" s="35">
        <f>'Itinerary-CODE'!B4</f>
        <v>44682</v>
      </c>
      <c r="C12" s="35">
        <f>'Itinerary-CODE'!C4</f>
        <v>44683</v>
      </c>
      <c r="D12" s="35">
        <f>'Itinerary-CODE'!D4</f>
        <v>44684</v>
      </c>
      <c r="E12" s="35">
        <f>'Itinerary-CODE'!E4</f>
        <v>44685</v>
      </c>
      <c r="F12" s="35">
        <f>'Itinerary-CODE'!F4</f>
        <v>44686</v>
      </c>
      <c r="G12" s="35">
        <f>'Itinerary-CODE'!G4</f>
        <v>44687</v>
      </c>
      <c r="H12" s="35">
        <f>'Itinerary-CODE'!H4</f>
        <v>44688</v>
      </c>
      <c r="J12" s="29"/>
    </row>
    <row r="13" spans="1:14">
      <c r="B13" s="113" t="str">
        <f>IFERROR(VLOOKUP(B12,Itinerary!$B$9:$E$108,2,FALSE)," ")</f>
        <v xml:space="preserve"> </v>
      </c>
      <c r="C13" s="113" t="str">
        <f>IFERROR(VLOOKUP(C12,Itinerary!$B$9:$E$108,2,FALSE)," ")</f>
        <v xml:space="preserve"> </v>
      </c>
      <c r="D13" s="113" t="str">
        <f>IFERROR(VLOOKUP(D12,Itinerary!$B$9:$E$108,2,FALSE)," ")</f>
        <v xml:space="preserve"> </v>
      </c>
      <c r="E13" s="113" t="str">
        <f>IFERROR(VLOOKUP(E12,Itinerary!$B$9:$E$108,2,FALSE)," ")</f>
        <v xml:space="preserve"> </v>
      </c>
      <c r="F13" s="113" t="str">
        <f>IFERROR(VLOOKUP(F12,Itinerary!$B$9:$E$108,2,FALSE)," ")</f>
        <v xml:space="preserve"> </v>
      </c>
      <c r="G13" s="113" t="str">
        <f>IFERROR(VLOOKUP(G12,Itinerary!$B$9:$E$108,2,FALSE)," ")</f>
        <v xml:space="preserve"> </v>
      </c>
      <c r="H13" s="113" t="str">
        <f>IFERROR(VLOOKUP(H12,Itinerary!$B$9:$E$108,2,FALSE)," ")</f>
        <v xml:space="preserve"> </v>
      </c>
      <c r="J13" s="31"/>
    </row>
    <row r="14" spans="1:14" s="125" customFormat="1">
      <c r="B14" s="127" t="str">
        <f>IFERROR(VLOOKUP(B12,Itinerary!$B$9:$E$108,3,FALSE)," ")</f>
        <v xml:space="preserve"> </v>
      </c>
      <c r="C14" s="127" t="str">
        <f>IFERROR(VLOOKUP(C12,Itinerary!$B$9:$E$108,3,FALSE)," ")</f>
        <v xml:space="preserve"> </v>
      </c>
      <c r="D14" s="127" t="str">
        <f>IFERROR(VLOOKUP(D12,Itinerary!$B$9:$E$108,3,FALSE)," ")</f>
        <v xml:space="preserve"> </v>
      </c>
      <c r="E14" s="127" t="str">
        <f>IFERROR(VLOOKUP(E12,Itinerary!$B$9:$E$108,3,FALSE)," ")</f>
        <v xml:space="preserve"> </v>
      </c>
      <c r="F14" s="127" t="str">
        <f>IFERROR(VLOOKUP(F12,Itinerary!$B$9:$E$108,3,FALSE)," ")</f>
        <v xml:space="preserve"> </v>
      </c>
      <c r="G14" s="127" t="str">
        <f>IFERROR(VLOOKUP(G12,Itinerary!$B$9:$E$108,3,FALSE)," ")</f>
        <v xml:space="preserve"> </v>
      </c>
      <c r="H14" s="127" t="str">
        <f>IFERROR(VLOOKUP(H12,Itinerary!$B$9:$E$108,3,FALSE)," ")</f>
        <v xml:space="preserve"> </v>
      </c>
      <c r="J14" s="129"/>
    </row>
    <row r="15" spans="1:14">
      <c r="B15" s="136" t="str">
        <f>IFERROR(IF(VLOOKUP(B12,Itinerary!$B$9:$E$108,4,FALSE)="Yes","TRAVEL DAY"," ")," ")</f>
        <v xml:space="preserve"> </v>
      </c>
      <c r="C15" s="136" t="str">
        <f>IFERROR(IF(VLOOKUP(C12,Itinerary!$B$9:$E$108,4,FALSE)="Yes","TRAVEL DAY"," ")," ")</f>
        <v xml:space="preserve"> </v>
      </c>
      <c r="D15" s="136" t="str">
        <f>IFERROR(IF(VLOOKUP(D12,Itinerary!$B$9:$E$108,4,FALSE)="Yes","TRAVEL DAY"," ")," ")</f>
        <v xml:space="preserve"> </v>
      </c>
      <c r="E15" s="136" t="str">
        <f>IFERROR(IF(VLOOKUP(E12,Itinerary!$B$9:$E$108,4,FALSE)="Yes","TRAVEL DAY"," ")," ")</f>
        <v xml:space="preserve"> </v>
      </c>
      <c r="F15" s="136" t="str">
        <f>IFERROR(IF(VLOOKUP(F12,Itinerary!$B$9:$E$108,4,FALSE)="Yes","TRAVEL DAY"," ")," ")</f>
        <v xml:space="preserve"> </v>
      </c>
      <c r="G15" s="136" t="str">
        <f>IFERROR(IF(VLOOKUP(G12,Itinerary!$B$9:$E$108,4,FALSE)="Yes","TRAVEL DAY"," ")," ")</f>
        <v xml:space="preserve"> </v>
      </c>
      <c r="H15" s="136" t="str">
        <f>IFERROR(IF(VLOOKUP(H12,Itinerary!$B$9:$E$108,4,FALSE)="Yes","TRAVEL DAY"," ")," ")</f>
        <v xml:space="preserve"> </v>
      </c>
      <c r="J15" s="31"/>
    </row>
    <row r="16" spans="1:14" ht="58.35" customHeight="1" thickBot="1">
      <c r="B16" s="136"/>
      <c r="C16" s="36"/>
      <c r="D16" s="36"/>
      <c r="E16" s="36"/>
      <c r="F16" s="24"/>
      <c r="G16" s="36"/>
      <c r="H16" s="45"/>
      <c r="J16" s="31"/>
    </row>
    <row r="17" spans="1:10" s="30" customFormat="1" ht="19.5" customHeight="1">
      <c r="A17" s="22"/>
      <c r="B17" s="40">
        <f>'Itinerary-CODE'!B5</f>
        <v>44689</v>
      </c>
      <c r="C17" s="40">
        <f>'Itinerary-CODE'!C5</f>
        <v>44690</v>
      </c>
      <c r="D17" s="40">
        <f>'Itinerary-CODE'!D5</f>
        <v>44691</v>
      </c>
      <c r="E17" s="40">
        <f>'Itinerary-CODE'!E5</f>
        <v>44692</v>
      </c>
      <c r="F17" s="40">
        <f>'Itinerary-CODE'!F5</f>
        <v>44693</v>
      </c>
      <c r="G17" s="40">
        <f>'Itinerary-CODE'!G5</f>
        <v>44694</v>
      </c>
      <c r="H17" s="40">
        <f>'Itinerary-CODE'!H5</f>
        <v>44695</v>
      </c>
    </row>
    <row r="18" spans="1:10" s="30" customFormat="1">
      <c r="A18" s="22"/>
      <c r="B18" s="112" t="str">
        <f>IFERROR(VLOOKUP(B17,Itinerary!$B$9:$E$108,2,FALSE)," ")</f>
        <v xml:space="preserve"> </v>
      </c>
      <c r="C18" s="112" t="str">
        <f>IFERROR(VLOOKUP(C17,Itinerary!$B$9:$E$108,2,FALSE)," ")</f>
        <v xml:space="preserve"> </v>
      </c>
      <c r="D18" s="112" t="str">
        <f>IFERROR(VLOOKUP(D17,Itinerary!$B$9:$E$108,2,FALSE)," ")</f>
        <v xml:space="preserve"> </v>
      </c>
      <c r="E18" s="112" t="str">
        <f>IFERROR(VLOOKUP(E17,Itinerary!$B$9:$E$108,2,FALSE)," ")</f>
        <v xml:space="preserve"> </v>
      </c>
      <c r="F18" s="112" t="str">
        <f>IFERROR(VLOOKUP(F17,Itinerary!$B$9:$E$108,2,FALSE)," ")</f>
        <v xml:space="preserve"> </v>
      </c>
      <c r="G18" s="124" t="str">
        <f>IFERROR(VLOOKUP(G17,Itinerary!$B$9:$E$108,2,FALSE)," ")</f>
        <v>Zurich, Switzerland</v>
      </c>
      <c r="H18" s="112" t="str">
        <f>IFERROR(VLOOKUP(H17,Itinerary!$B$9:$E$108,2,FALSE)," ")</f>
        <v>Zurich, Switzerland</v>
      </c>
    </row>
    <row r="19" spans="1:10" s="125" customFormat="1" ht="29.1">
      <c r="B19" s="126" t="str">
        <f>IFERROR(VLOOKUP(B17,Itinerary!$B$9:$E$108,3,FALSE)," ")</f>
        <v xml:space="preserve"> </v>
      </c>
      <c r="C19" s="126" t="str">
        <f>IFERROR(VLOOKUP(C17,Itinerary!$B$9:$E$108,3,FALSE)," ")</f>
        <v xml:space="preserve"> </v>
      </c>
      <c r="D19" s="126" t="str">
        <f>IFERROR(VLOOKUP(D17,Itinerary!$B$9:$E$108,3,FALSE)," ")</f>
        <v xml:space="preserve"> </v>
      </c>
      <c r="E19" s="126" t="str">
        <f>IFERROR(VLOOKUP(E17,Itinerary!$B$9:$E$108,3,FALSE)," ")</f>
        <v xml:space="preserve"> </v>
      </c>
      <c r="F19" s="126" t="str">
        <f>IFERROR(VLOOKUP(F17,Itinerary!$B$9:$E$108,3,FALSE)," ")</f>
        <v xml:space="preserve"> </v>
      </c>
      <c r="G19" s="126" t="str">
        <f>IFERROR(VLOOKUP(G17,Itinerary!$B$9:$E$108,3,FALSE)," ")</f>
        <v>Zurich Youth Hostel</v>
      </c>
      <c r="H19" s="126" t="str">
        <f>IFERROR(VLOOKUP(H17,Itinerary!$B$9:$E$108,3,FALSE)," ")</f>
        <v>Zurich Youth Hostel</v>
      </c>
    </row>
    <row r="20" spans="1:10" s="143" customFormat="1">
      <c r="B20" s="148" t="str">
        <f>IFERROR(IF(VLOOKUP(B17,Itinerary!$B$9:$E$108,4,FALSE)="Yes","TRAVEL DAY"," ")," ")</f>
        <v xml:space="preserve"> </v>
      </c>
      <c r="C20" s="148" t="str">
        <f>IFERROR(IF(VLOOKUP(C17,Itinerary!$B$9:$E$108,4,FALSE)="Yes","TRAVEL DAY"," ")," ")</f>
        <v xml:space="preserve"> </v>
      </c>
      <c r="D20" s="148" t="str">
        <f>IFERROR(IF(VLOOKUP(D17,Itinerary!$B$9:$E$108,4,FALSE)="Yes","TRAVEL DAY"," ")," ")</f>
        <v xml:space="preserve"> </v>
      </c>
      <c r="E20" s="148" t="str">
        <f>IFERROR(IF(VLOOKUP(E17,Itinerary!$B$9:$E$108,4,FALSE)="Yes","TRAVEL DAY"," ")," ")</f>
        <v xml:space="preserve"> </v>
      </c>
      <c r="F20" s="148" t="str">
        <f>IFERROR(IF(VLOOKUP(F17,Itinerary!$B$9:$E$108,4,FALSE)="Yes","TRAVEL DAY"," ")," ")</f>
        <v xml:space="preserve"> </v>
      </c>
      <c r="G20" s="148" t="str">
        <f>IFERROR(IF(VLOOKUP(G17,Itinerary!$B$9:$E$108,4,FALSE)="Yes","TRAVEL DAY"," ")," ")</f>
        <v>TRAVEL DAY</v>
      </c>
      <c r="H20" s="148" t="str">
        <f>IFERROR(IF(VLOOKUP(H17,Itinerary!$B$9:$E$108,4,FALSE)="Yes","TRAVEL DAY"," ")," ")</f>
        <v xml:space="preserve"> </v>
      </c>
    </row>
    <row r="21" spans="1:10" ht="58.35" customHeight="1" thickBot="1">
      <c r="B21" s="38"/>
      <c r="C21" s="38"/>
      <c r="D21" s="38"/>
      <c r="E21" s="38"/>
      <c r="F21" s="244"/>
      <c r="G21" s="38"/>
      <c r="H21" s="38"/>
      <c r="J21" s="32"/>
    </row>
    <row r="22" spans="1:10" s="30" customFormat="1" ht="19.5" customHeight="1">
      <c r="A22" s="22"/>
      <c r="B22" s="37">
        <f>'Itinerary-CODE'!B6</f>
        <v>44696</v>
      </c>
      <c r="C22" s="37">
        <f>'Itinerary-CODE'!C6</f>
        <v>44697</v>
      </c>
      <c r="D22" s="37">
        <f>'Itinerary-CODE'!D6</f>
        <v>44698</v>
      </c>
      <c r="E22" s="37">
        <f>'Itinerary-CODE'!E6</f>
        <v>44699</v>
      </c>
      <c r="F22" s="37">
        <f>'Itinerary-CODE'!F6</f>
        <v>44700</v>
      </c>
      <c r="G22" s="37">
        <f>'Itinerary-CODE'!G6</f>
        <v>44701</v>
      </c>
      <c r="H22" s="37">
        <f>'Itinerary-CODE'!H6</f>
        <v>44702</v>
      </c>
      <c r="J22" s="32"/>
    </row>
    <row r="23" spans="1:10" s="30" customFormat="1">
      <c r="A23" s="22"/>
      <c r="B23" s="113" t="str">
        <f>IFERROR(VLOOKUP(B22,Itinerary!$B$9:$E$108,2,FALSE)," ")</f>
        <v>Zurich, Switzerland</v>
      </c>
      <c r="C23" s="113" t="str">
        <f>IFERROR(VLOOKUP(C22,Itinerary!$B$9:$E$108,2,FALSE)," ")</f>
        <v>Lucerne, Switzerland</v>
      </c>
      <c r="D23" s="113" t="str">
        <f>IFERROR(VLOOKUP(D22,Itinerary!$B$9:$E$108,2,FALSE)," ")</f>
        <v>Lucerne, Switzerland</v>
      </c>
      <c r="E23" s="113" t="str">
        <f>IFERROR(VLOOKUP(E22,Itinerary!$B$9:$E$108,2,FALSE)," ")</f>
        <v>Lucerne, Switzerland</v>
      </c>
      <c r="F23" s="113" t="str">
        <f>IFERROR(VLOOKUP(F22,Itinerary!$B$9:$E$108,2,FALSE)," ")</f>
        <v>Salzburg, Austria</v>
      </c>
      <c r="G23" s="113" t="str">
        <f>IFERROR(VLOOKUP(G22,Itinerary!$B$9:$E$108,2,FALSE)," ")</f>
        <v>Salzburg, Austria</v>
      </c>
      <c r="H23" s="113" t="str">
        <f>IFERROR(VLOOKUP(H22,Itinerary!$B$9:$E$108,2,FALSE)," ")</f>
        <v>Salzburg, Austria</v>
      </c>
      <c r="J23" s="32"/>
    </row>
    <row r="24" spans="1:10" s="125" customFormat="1" ht="29.45" thickBot="1">
      <c r="B24" s="127" t="str">
        <f>IFERROR(VLOOKUP(B22,Itinerary!$B$9:$E$108,3,FALSE)," ")</f>
        <v>Zurich Youth Hostel</v>
      </c>
      <c r="C24" s="127" t="str">
        <f>IFERROR(VLOOKUP(C22,Itinerary!$B$9:$E$108,3,FALSE)," ")</f>
        <v>Barabas Luzern</v>
      </c>
      <c r="D24" s="127" t="str">
        <f>IFERROR(VLOOKUP(D22,Itinerary!$B$9:$E$108,3,FALSE)," ")</f>
        <v>Barabas Luzern</v>
      </c>
      <c r="E24" s="127" t="str">
        <f>IFERROR(VLOOKUP(E22,Itinerary!$B$9:$E$108,3,FALSE)," ")</f>
        <v>Barabas Luzern</v>
      </c>
      <c r="F24" s="127" t="str">
        <f>IFERROR(VLOOKUP(F22,Itinerary!$B$9:$E$108,3,FALSE)," ")</f>
        <v>Chalet Hostel @ Backpackers Villa</v>
      </c>
      <c r="G24" s="127" t="str">
        <f>IFERROR(VLOOKUP(G22,Itinerary!$B$9:$E$108,3,FALSE)," ")</f>
        <v>Chalet Hostel @ Backpackers Villa</v>
      </c>
      <c r="H24" s="127" t="str">
        <f>IFERROR(VLOOKUP(H22,Itinerary!$B$9:$E$108,3,FALSE)," ")</f>
        <v>Chalet Hostel @ Backpackers Villa</v>
      </c>
    </row>
    <row r="25" spans="1:10" s="143" customFormat="1" ht="15" thickBot="1">
      <c r="B25" s="144" t="str">
        <f>IFERROR(IF(VLOOKUP(B22,Itinerary!$B$9:$E$108,4,FALSE)="Yes","TRAVEL DAY"," ")," ")</f>
        <v xml:space="preserve"> </v>
      </c>
      <c r="C25" s="149" t="str">
        <f>IFERROR(IF(VLOOKUP(C22,Itinerary!$B$9:$E$108,4,FALSE)="Yes","TRAVEL DAY"," ")," ")</f>
        <v>TRAVEL DAY</v>
      </c>
      <c r="D25" s="144" t="str">
        <f>IFERROR(IF(VLOOKUP(D22,Itinerary!$B$9:$E$108,4,FALSE)="Yes","TRAVEL DAY"," ")," ")</f>
        <v xml:space="preserve"> </v>
      </c>
      <c r="E25" s="144" t="str">
        <f>IFERROR(IF(VLOOKUP(E22,Itinerary!$B$9:$E$108,4,FALSE)="Yes","TRAVEL DAY"," ")," ")</f>
        <v xml:space="preserve"> </v>
      </c>
      <c r="F25" s="144" t="str">
        <f>IFERROR(IF(VLOOKUP(F22,Itinerary!$B$9:$E$108,4,FALSE)="Yes","TRAVEL DAY"," ")," ")</f>
        <v>TRAVEL DAY</v>
      </c>
      <c r="G25" s="144" t="str">
        <f>IFERROR(IF(VLOOKUP(G22,Itinerary!$B$9:$E$108,4,FALSE)="Yes","TRAVEL DAY"," ")," ")</f>
        <v xml:space="preserve"> </v>
      </c>
      <c r="H25" s="144" t="str">
        <f>IFERROR(IF(VLOOKUP(H22,Itinerary!$B$9:$E$108,4,FALSE)="Yes","TRAVEL DAY"," ")," ")</f>
        <v xml:space="preserve"> </v>
      </c>
    </row>
    <row r="26" spans="1:10" ht="58.35" customHeight="1" thickBot="1">
      <c r="B26" s="36"/>
      <c r="C26" s="36"/>
      <c r="D26" s="36"/>
      <c r="E26" s="36"/>
      <c r="F26" s="24"/>
      <c r="G26" s="36"/>
      <c r="H26" s="36"/>
    </row>
    <row r="27" spans="1:10" s="30" customFormat="1" ht="19.5" customHeight="1">
      <c r="A27" s="22"/>
      <c r="B27" s="40">
        <f>'Itinerary-CODE'!B7</f>
        <v>44703</v>
      </c>
      <c r="C27" s="40">
        <f>'Itinerary-CODE'!C7</f>
        <v>44704</v>
      </c>
      <c r="D27" s="40">
        <f>'Itinerary-CODE'!D7</f>
        <v>44705</v>
      </c>
      <c r="E27" s="40">
        <f>'Itinerary-CODE'!E7</f>
        <v>44706</v>
      </c>
      <c r="F27" s="40">
        <f>'Itinerary-CODE'!F7</f>
        <v>44707</v>
      </c>
      <c r="G27" s="40">
        <f>'Itinerary-CODE'!G7</f>
        <v>44708</v>
      </c>
      <c r="H27" s="40">
        <f>'Itinerary-CODE'!H7</f>
        <v>44709</v>
      </c>
    </row>
    <row r="28" spans="1:10" s="30" customFormat="1">
      <c r="A28" s="22"/>
      <c r="B28" s="112" t="str">
        <f>IFERROR(VLOOKUP(B27,Itinerary!$B$9:$E$108,2,FALSE)," ")</f>
        <v>Salzburg, Austria</v>
      </c>
      <c r="C28" s="112" t="str">
        <f>IFERROR(VLOOKUP(C27,Itinerary!$B$9:$E$108,2,FALSE)," ")</f>
        <v>Interlaken, Switzerland</v>
      </c>
      <c r="D28" s="112" t="str">
        <f>IFERROR(VLOOKUP(D27,Itinerary!$B$9:$E$108,2,FALSE)," ")</f>
        <v>Interlaken, Switzerland</v>
      </c>
      <c r="E28" s="112" t="str">
        <f>IFERROR(VLOOKUP(E27,Itinerary!$B$9:$E$108,2,FALSE)," ")</f>
        <v>Interlaken, Switzerland</v>
      </c>
      <c r="F28" s="112" t="str">
        <f>IFERROR(VLOOKUP(F27,Itinerary!$B$9:$E$108,2,FALSE)," ")</f>
        <v>Interlaken, Switzerland</v>
      </c>
      <c r="G28" s="112" t="str">
        <f>IFERROR(VLOOKUP(G27,Itinerary!$B$9:$E$108,2,FALSE)," ")</f>
        <v>Interlaken, Switzerland</v>
      </c>
      <c r="H28" s="112" t="str">
        <f>IFERROR(VLOOKUP(H27,Itinerary!$B$9:$E$108,2,FALSE)," ")</f>
        <v>Interlaken, Switzerland</v>
      </c>
    </row>
    <row r="29" spans="1:10" s="125" customFormat="1" ht="29.1">
      <c r="B29" s="126" t="str">
        <f>IFERROR(VLOOKUP(B27,Itinerary!$B$9:$E$108,3,FALSE)," ")</f>
        <v>Chalet Hostel @ Backpackers Villa</v>
      </c>
      <c r="C29" s="126" t="str">
        <f>IFERROR(VLOOKUP(C27,Itinerary!$B$9:$E$108,3,FALSE)," ")</f>
        <v>YoHo - Internationall Youth Hostel</v>
      </c>
      <c r="D29" s="126" t="str">
        <f>IFERROR(VLOOKUP(D27,Itinerary!$B$9:$E$108,3,FALSE)," ")</f>
        <v>YoHo - Internationall Youth Hostel</v>
      </c>
      <c r="E29" s="126" t="str">
        <f>IFERROR(VLOOKUP(E27,Itinerary!$B$9:$E$108,3,FALSE)," ")</f>
        <v>YoHo - Internationall Youth Hostel</v>
      </c>
      <c r="F29" s="126" t="str">
        <f>IFERROR(VLOOKUP(F27,Itinerary!$B$9:$E$108,3,FALSE)," ")</f>
        <v>YoHo - Internationall Youth Hostel</v>
      </c>
      <c r="G29" s="126" t="str">
        <f>IFERROR(VLOOKUP(G27,Itinerary!$B$9:$E$108,3,FALSE)," ")</f>
        <v>YoHo - Internationall Youth Hostel</v>
      </c>
      <c r="H29" s="126" t="str">
        <f>IFERROR(VLOOKUP(H27,Itinerary!$B$9:$E$108,3,FALSE)," ")</f>
        <v>YoHo - Internationall Youth Hostel</v>
      </c>
    </row>
    <row r="30" spans="1:10" s="143" customFormat="1">
      <c r="B30" s="148" t="str">
        <f>IFERROR(IF(VLOOKUP(B27,Itinerary!$B$9:$E$108,4,FALSE)="Yes","TRAVEL DAY"," ")," ")</f>
        <v xml:space="preserve"> </v>
      </c>
      <c r="C30" s="148" t="str">
        <f>IFERROR(IF(VLOOKUP(C27,Itinerary!$B$9:$E$108,4,FALSE)="Yes","TRAVEL DAY"," ")," ")</f>
        <v>TRAVEL DAY</v>
      </c>
      <c r="D30" s="148" t="str">
        <f>IFERROR(IF(VLOOKUP(D27,Itinerary!$B$9:$E$108,4,FALSE)="Yes","TRAVEL DAY"," ")," ")</f>
        <v xml:space="preserve"> </v>
      </c>
      <c r="E30" s="148" t="str">
        <f>IFERROR(IF(VLOOKUP(E27,Itinerary!$B$9:$E$108,4,FALSE)="Yes","TRAVEL DAY"," ")," ")</f>
        <v xml:space="preserve"> </v>
      </c>
      <c r="F30" s="148" t="str">
        <f>IFERROR(IF(VLOOKUP(F27,Itinerary!$B$9:$E$108,4,FALSE)="Yes","TRAVEL DAY"," ")," ")</f>
        <v xml:space="preserve"> </v>
      </c>
      <c r="G30" s="148" t="str">
        <f>IFERROR(IF(VLOOKUP(G27,Itinerary!$B$9:$E$108,4,FALSE)="Yes","TRAVEL DAY"," ")," ")</f>
        <v xml:space="preserve"> </v>
      </c>
      <c r="H30" s="148" t="str">
        <f>IFERROR(IF(VLOOKUP(H27,Itinerary!$B$9:$E$108,4,FALSE)="Yes","TRAVEL DAY"," ")," ")</f>
        <v xml:space="preserve"> </v>
      </c>
    </row>
    <row r="31" spans="1:10" ht="58.35" customHeight="1" thickBot="1">
      <c r="B31" s="38"/>
      <c r="C31" s="38"/>
      <c r="D31" s="38"/>
      <c r="E31" s="38"/>
      <c r="F31" s="244"/>
      <c r="G31" s="38"/>
      <c r="H31" s="38"/>
    </row>
    <row r="32" spans="1:10" s="30" customFormat="1" ht="19.5" customHeight="1">
      <c r="A32" s="22"/>
      <c r="B32" s="37">
        <f>'Itinerary-CODE'!B8</f>
        <v>44710</v>
      </c>
      <c r="C32" s="37">
        <f>'Itinerary-CODE'!C8</f>
        <v>44711</v>
      </c>
      <c r="D32" s="37">
        <f>'Itinerary-CODE'!D8</f>
        <v>44712</v>
      </c>
      <c r="E32" s="37" t="str">
        <f>'Itinerary-CODE'!E8</f>
        <v/>
      </c>
      <c r="F32" s="37" t="str">
        <f>'Itinerary-CODE'!F8</f>
        <v/>
      </c>
      <c r="G32" s="37" t="str">
        <f>'Itinerary-CODE'!G8</f>
        <v/>
      </c>
      <c r="H32" s="37" t="str">
        <f>'Itinerary-CODE'!H8</f>
        <v/>
      </c>
    </row>
    <row r="33" spans="1:8" s="30" customFormat="1">
      <c r="A33" s="22"/>
      <c r="B33" s="113" t="str">
        <f>IFERROR(VLOOKUP(B32,Itinerary!$B$9:$E$108,2,FALSE)," ")</f>
        <v>Interlaken, Switzerland</v>
      </c>
      <c r="C33" s="113" t="str">
        <f>IFERROR(VLOOKUP(C32,Itinerary!$B$9:$E$108,2,FALSE)," ")</f>
        <v>Halstatt, Austria</v>
      </c>
      <c r="D33" s="113" t="str">
        <f>IFERROR(VLOOKUP(D32,Itinerary!$B$9:$E$108,2,FALSE)," ")</f>
        <v>Munich, Germany</v>
      </c>
      <c r="E33" s="113" t="str">
        <f>IFERROR(VLOOKUP(E32,Itinerary!$B$9:$E$108,2,FALSE)," ")</f>
        <v xml:space="preserve"> </v>
      </c>
      <c r="F33" s="113" t="str">
        <f>IFERROR(VLOOKUP(F32,Itinerary!$B$9:$E$108,2,FALSE)," ")</f>
        <v xml:space="preserve"> </v>
      </c>
      <c r="G33" s="113" t="str">
        <f>IFERROR(VLOOKUP(G32,Itinerary!$B$9:$E$108,2,FALSE)," ")</f>
        <v xml:space="preserve"> </v>
      </c>
      <c r="H33" s="113" t="str">
        <f>IFERROR(VLOOKUP(H32,Itinerary!$B$9:$E$108,2,FALSE)," ")</f>
        <v xml:space="preserve"> </v>
      </c>
    </row>
    <row r="34" spans="1:8" s="125" customFormat="1" ht="29.1">
      <c r="B34" s="127" t="str">
        <f>IFERROR(VLOOKUP(B32,Itinerary!$B$9:$E$108,3,FALSE)," ")</f>
        <v>YoHo - Internationall Youth Hostel</v>
      </c>
      <c r="C34" s="127" t="str">
        <f>IFERROR(VLOOKUP(C32,Itinerary!$B$9:$E$108,3,FALSE)," ")</f>
        <v>Pension Leopoldine</v>
      </c>
      <c r="D34" s="127" t="str">
        <f>IFERROR(VLOOKUP(D32,Itinerary!$B$9:$E$108,3,FALSE)," ")</f>
        <v>Wombat's City Hostel Munich</v>
      </c>
      <c r="E34" s="127" t="str">
        <f>IFERROR(VLOOKUP(E32,Itinerary!$B$9:$E$108,3,FALSE)," ")</f>
        <v xml:space="preserve"> </v>
      </c>
      <c r="F34" s="127" t="str">
        <f>IFERROR(VLOOKUP(F32,Itinerary!$B$9:$E$108,3,FALSE)," ")</f>
        <v xml:space="preserve"> </v>
      </c>
      <c r="G34" s="127" t="str">
        <f>IFERROR(VLOOKUP(G32,Itinerary!$B$9:$E$108,3,FALSE)," ")</f>
        <v xml:space="preserve"> </v>
      </c>
      <c r="H34" s="127" t="str">
        <f>IFERROR(VLOOKUP(H32,Itinerary!$B$9:$E$108,3,FALSE)," ")</f>
        <v xml:space="preserve"> </v>
      </c>
    </row>
    <row r="35" spans="1:8" s="143" customFormat="1">
      <c r="B35" s="144" t="str">
        <f>IFERROR(IF(VLOOKUP(B32,Itinerary!$B$9:$E$108,4,FALSE)="Yes","TRAVEL DAY"," ")," ")</f>
        <v xml:space="preserve"> </v>
      </c>
      <c r="C35" s="144" t="str">
        <f>IFERROR(IF(VLOOKUP(C32,Itinerary!$B$9:$E$108,4,FALSE)="Yes","TRAVEL DAY"," ")," ")</f>
        <v>TRAVEL DAY</v>
      </c>
      <c r="D35" s="144" t="str">
        <f>IFERROR(IF(VLOOKUP(D32,Itinerary!$B$9:$E$108,4,FALSE)="Yes","TRAVEL DAY"," ")," ")</f>
        <v>TRAVEL DAY</v>
      </c>
      <c r="E35" s="144" t="str">
        <f>IFERROR(IF(VLOOKUP(E32,Itinerary!$B$9:$E$108,4,FALSE)="Yes","TRAVEL DAY"," ")," ")</f>
        <v xml:space="preserve"> </v>
      </c>
      <c r="F35" s="144" t="str">
        <f>IFERROR(IF(VLOOKUP(F32,Itinerary!$B$9:$E$108,4,FALSE)="Yes","TRAVEL DAY"," ")," ")</f>
        <v xml:space="preserve"> </v>
      </c>
      <c r="G35" s="144" t="str">
        <f>IFERROR(IF(VLOOKUP(G32,Itinerary!$B$9:$E$108,4,FALSE)="Yes","TRAVEL DAY"," ")," ")</f>
        <v xml:space="preserve"> </v>
      </c>
      <c r="H35" s="144" t="str">
        <f>IFERROR(IF(VLOOKUP(H32,Itinerary!$B$9:$E$108,4,FALSE)="Yes","TRAVEL DAY"," ")," ")</f>
        <v xml:space="preserve"> </v>
      </c>
    </row>
    <row r="36" spans="1:8" ht="58.35" customHeight="1" thickBot="1">
      <c r="B36" s="39"/>
      <c r="C36" s="36"/>
      <c r="D36" s="36"/>
      <c r="E36" s="36"/>
      <c r="F36" s="24"/>
      <c r="G36" s="36"/>
      <c r="H36" s="39"/>
    </row>
    <row r="37" spans="1:8" s="30" customFormat="1" ht="19.5" customHeight="1">
      <c r="A37" s="22"/>
      <c r="B37" s="40" t="str">
        <f>'Itinerary-CODE'!B9</f>
        <v/>
      </c>
      <c r="C37" s="40" t="str">
        <f>'Itinerary-CODE'!C9</f>
        <v/>
      </c>
      <c r="D37" s="114"/>
      <c r="E37" s="272" t="s">
        <v>59</v>
      </c>
      <c r="F37" s="272"/>
      <c r="G37" s="272"/>
      <c r="H37" s="273"/>
    </row>
    <row r="38" spans="1:8" s="30" customFormat="1">
      <c r="A38" s="22"/>
      <c r="B38" s="112" t="str">
        <f>IFERROR(VLOOKUP(B37,Itinerary!$B$9:$E$108,2,FALSE)," ")</f>
        <v xml:space="preserve"> </v>
      </c>
      <c r="C38" s="112" t="str">
        <f>IFERROR(VLOOKUP(C37,Itinerary!$B$9:$E$108,2,FALSE)," ")</f>
        <v xml:space="preserve"> </v>
      </c>
      <c r="D38" s="112" t="str">
        <f>IFERROR(VLOOKUP(D37,Itinerary!$B$9:$E$108,2,FALSE)," ")</f>
        <v xml:space="preserve"> </v>
      </c>
      <c r="E38" s="274"/>
      <c r="F38" s="274"/>
      <c r="G38" s="274"/>
      <c r="H38" s="275"/>
    </row>
    <row r="39" spans="1:8" s="125" customFormat="1">
      <c r="B39" s="126"/>
      <c r="C39" s="126"/>
      <c r="D39" s="128"/>
      <c r="E39" s="274"/>
      <c r="F39" s="274"/>
      <c r="G39" s="274"/>
      <c r="H39" s="275"/>
    </row>
    <row r="40" spans="1:8" s="143" customFormat="1">
      <c r="B40" s="148" t="str">
        <f>IFERROR(IF(VLOOKUP(B37,Itinerary!$B$9:$E$108,4,FALSE)="Yes","TRAVEL DAY"," ")," ")</f>
        <v xml:space="preserve"> </v>
      </c>
      <c r="C40" s="148" t="str">
        <f>IFERROR(IF(VLOOKUP(C37,Itinerary!$B$9:$E$108,4,FALSE)="Yes","TRAVEL DAY"," ")," ")</f>
        <v xml:space="preserve"> </v>
      </c>
      <c r="D40" s="148" t="str">
        <f>IFERROR(IF(VLOOKUP(D37,Itinerary!$B$9:$E$108,4,FALSE)="Yes","TRAVEL DAY"," ")," ")</f>
        <v xml:space="preserve"> </v>
      </c>
      <c r="E40" s="274"/>
      <c r="F40" s="274"/>
      <c r="G40" s="274"/>
      <c r="H40" s="275"/>
    </row>
    <row r="41" spans="1:8" ht="58.35" customHeight="1" thickBot="1">
      <c r="B41" s="38"/>
      <c r="C41" s="38"/>
      <c r="D41" s="115"/>
      <c r="E41" s="276"/>
      <c r="F41" s="276"/>
      <c r="G41" s="276"/>
      <c r="H41" s="277"/>
    </row>
    <row r="42" spans="1:8" ht="45.6" thickBot="1">
      <c r="A42" s="97"/>
      <c r="B42" s="278" t="str" cm="1">
        <f t="array" ref="B42">(_xlfn.IFS(DreamStartMonth2=1,"January ",DreamStartMonth2=2,"February ",DreamStartMonth2=3,"March ",DreamStartMonth2=4,"April ",DreamStartMonth2=5,"May ",DreamStartMonth2=6,"June ",DreamStartMonth2=7,"July ",DreamStartMonth2=8,"August ",DreamStartMonth2=9,"September ",DreamStartMonth2=10,"October ",DreamStartMonth2=11,"November ",DreamStartMonth2=12,"December "))&amp;YEAR(B49)</f>
        <v>June 2022</v>
      </c>
      <c r="C42" s="278"/>
      <c r="D42" s="278"/>
      <c r="E42" s="98"/>
      <c r="F42" s="98"/>
      <c r="G42" s="98"/>
      <c r="H42" s="99"/>
    </row>
    <row r="43" spans="1:8" ht="21.6" customHeight="1" thickBot="1">
      <c r="A43" s="97"/>
      <c r="B43" s="96" t="s">
        <v>53</v>
      </c>
      <c r="C43" s="34" t="s">
        <v>54</v>
      </c>
      <c r="D43" s="96" t="s">
        <v>55</v>
      </c>
      <c r="E43" s="34" t="s">
        <v>56</v>
      </c>
      <c r="F43" s="96" t="s">
        <v>57</v>
      </c>
      <c r="G43" s="34" t="s">
        <v>48</v>
      </c>
      <c r="H43" s="96" t="s">
        <v>58</v>
      </c>
    </row>
    <row r="44" spans="1:8">
      <c r="A44" s="97"/>
      <c r="B44" s="37" t="str">
        <f>'Itinerary-CODE'!B10</f>
        <v/>
      </c>
      <c r="C44" s="37" t="str">
        <f>'Itinerary-CODE'!C10</f>
        <v/>
      </c>
      <c r="D44" s="37" t="str">
        <f>'Itinerary-CODE'!D10</f>
        <v/>
      </c>
      <c r="E44" s="37">
        <f>'Itinerary-CODE'!E10</f>
        <v>44713</v>
      </c>
      <c r="F44" s="37">
        <f>'Itinerary-CODE'!F10</f>
        <v>44714</v>
      </c>
      <c r="G44" s="37">
        <f>'Itinerary-CODE'!G10</f>
        <v>44715</v>
      </c>
      <c r="H44" s="37">
        <f>'Itinerary-CODE'!H10</f>
        <v>44716</v>
      </c>
    </row>
    <row r="45" spans="1:8">
      <c r="A45" s="97"/>
      <c r="B45" s="113" t="str">
        <f>IFERROR(VLOOKUP(B44,Itinerary!$B$9:$E$108,2,FALSE)," ")</f>
        <v xml:space="preserve"> </v>
      </c>
      <c r="C45" s="113" t="str">
        <f>IFERROR(VLOOKUP(C44,Itinerary!$B$9:$E$108,2,FALSE)," ")</f>
        <v xml:space="preserve"> </v>
      </c>
      <c r="D45" s="113" t="str">
        <f>IFERROR(VLOOKUP(D44,Itinerary!$B$9:$E$108,2,FALSE)," ")</f>
        <v xml:space="preserve"> </v>
      </c>
      <c r="E45" s="113" t="str">
        <f>IFERROR(VLOOKUP(E44,Itinerary!$B$9:$E$108,2,FALSE)," ")</f>
        <v>Munich, Germany</v>
      </c>
      <c r="F45" s="113" t="str">
        <f>IFERROR(VLOOKUP(F44,Itinerary!$B$9:$E$108,2,FALSE)," ")</f>
        <v>Munich, Germany</v>
      </c>
      <c r="G45" s="113" t="str">
        <f>IFERROR(VLOOKUP(G44,Itinerary!$B$9:$E$108,2,FALSE)," ")</f>
        <v>Berlin, Germany</v>
      </c>
      <c r="H45" s="113" t="str">
        <f>IFERROR(VLOOKUP(H44,Itinerary!$B$9:$E$108,2,FALSE)," ")</f>
        <v>Berlin, Germany</v>
      </c>
    </row>
    <row r="46" spans="1:8" s="125" customFormat="1" ht="29.1">
      <c r="A46" s="130"/>
      <c r="B46" s="127" t="str">
        <f>IFERROR(VLOOKUP(B44,Itinerary!$B$9:$E$108,3,FALSE)," ")</f>
        <v xml:space="preserve"> </v>
      </c>
      <c r="C46" s="127" t="str">
        <f>IFERROR(VLOOKUP(C44,Itinerary!$B$9:$E$108,3,FALSE)," ")</f>
        <v xml:space="preserve"> </v>
      </c>
      <c r="D46" s="127" t="str">
        <f>IFERROR(VLOOKUP(D44,Itinerary!$B$9:$E$108,3,FALSE)," ")</f>
        <v xml:space="preserve"> </v>
      </c>
      <c r="E46" s="127" t="str">
        <f>IFERROR(VLOOKUP(E44,Itinerary!$B$9:$E$108,3,FALSE)," ")</f>
        <v>Wombat's City Hostel Munich</v>
      </c>
      <c r="F46" s="127" t="str">
        <f>IFERROR(VLOOKUP(F44,Itinerary!$B$9:$E$108,3,FALSE)," ")</f>
        <v>Wombat's City Hostel Munich</v>
      </c>
      <c r="G46" s="127" t="str">
        <f>IFERROR(VLOOKUP(G44,Itinerary!$B$9:$E$108,3,FALSE)," ")</f>
        <v>St. Christophers Inn Berlin</v>
      </c>
      <c r="H46" s="127" t="str">
        <f>IFERROR(VLOOKUP(H44,Itinerary!$B$9:$E$108,3,FALSE)," ")</f>
        <v>St. Christophers Inn Berlin</v>
      </c>
    </row>
    <row r="47" spans="1:8" s="143" customFormat="1">
      <c r="A47" s="145"/>
      <c r="B47" s="144" t="str">
        <f>IFERROR(IF(VLOOKUP(B44,Itinerary!$B$9:$E$108,4,FALSE)="Yes","TRAVEL DAY"," ")," ")</f>
        <v xml:space="preserve"> </v>
      </c>
      <c r="C47" s="144" t="str">
        <f>IFERROR(IF(VLOOKUP(C44,Itinerary!$B$9:$E$108,4,FALSE)="Yes","TRAVEL DAY"," ")," ")</f>
        <v xml:space="preserve"> </v>
      </c>
      <c r="D47" s="144" t="str">
        <f>IFERROR(IF(VLOOKUP(D44,Itinerary!$B$9:$E$108,4,FALSE)="Yes","TRAVEL DAY"," ")," ")</f>
        <v xml:space="preserve"> </v>
      </c>
      <c r="E47" s="144" t="str">
        <f>IFERROR(IF(VLOOKUP(E44,Itinerary!$B$9:$E$108,4,FALSE)="Yes","TRAVEL DAY"," ")," ")</f>
        <v xml:space="preserve"> </v>
      </c>
      <c r="F47" s="144" t="str">
        <f>IFERROR(IF(VLOOKUP(F44,Itinerary!$B$9:$E$108,4,FALSE)="Yes","TRAVEL DAY"," ")," ")</f>
        <v xml:space="preserve"> </v>
      </c>
      <c r="G47" s="144" t="str">
        <f>IFERROR(IF(VLOOKUP(G44,Itinerary!$B$9:$E$108,4,FALSE)="Yes","TRAVEL DAY"," ")," ")</f>
        <v>TRAVEL DAY</v>
      </c>
      <c r="H47" s="144" t="str">
        <f>IFERROR(IF(VLOOKUP(H44,Itinerary!$B$9:$E$108,4,FALSE)="Yes","TRAVEL DAY"," ")," ")</f>
        <v xml:space="preserve"> </v>
      </c>
    </row>
    <row r="48" spans="1:8" ht="58.35" customHeight="1" thickBot="1">
      <c r="A48" s="97"/>
      <c r="B48" s="104"/>
      <c r="C48" s="105"/>
      <c r="D48" s="104"/>
      <c r="E48" s="105"/>
      <c r="F48" s="104"/>
      <c r="G48" s="105"/>
      <c r="H48" s="104"/>
    </row>
    <row r="49" spans="1:8">
      <c r="A49" s="97"/>
      <c r="B49" s="106">
        <f>'Itinerary-CODE'!B11</f>
        <v>44717</v>
      </c>
      <c r="C49" s="106">
        <f>'Itinerary-CODE'!C11</f>
        <v>44718</v>
      </c>
      <c r="D49" s="106">
        <f>'Itinerary-CODE'!D11</f>
        <v>44719</v>
      </c>
      <c r="E49" s="106">
        <f>'Itinerary-CODE'!E11</f>
        <v>44720</v>
      </c>
      <c r="F49" s="106">
        <f>'Itinerary-CODE'!F11</f>
        <v>44721</v>
      </c>
      <c r="G49" s="106">
        <f>'Itinerary-CODE'!G11</f>
        <v>44722</v>
      </c>
      <c r="H49" s="106">
        <f>'Itinerary-CODE'!H11</f>
        <v>44723</v>
      </c>
    </row>
    <row r="50" spans="1:8">
      <c r="A50" s="97"/>
      <c r="B50" s="112" t="str">
        <f>IFERROR(VLOOKUP(B49,Itinerary!$B$9:$E$108,2,FALSE)," ")</f>
        <v>Berlin, Germany</v>
      </c>
      <c r="C50" s="112" t="str">
        <f>IFERROR(VLOOKUP(C49,Itinerary!$B$9:$E$108,2,FALSE)," ")</f>
        <v>Berlin, Germany</v>
      </c>
      <c r="D50" s="112" t="str">
        <f>IFERROR(VLOOKUP(D49,Itinerary!$B$9:$E$108,2,FALSE)," ")</f>
        <v>Berlin, Germany</v>
      </c>
      <c r="E50" s="112" t="str">
        <f>IFERROR(VLOOKUP(E49,Itinerary!$B$9:$E$108,2,FALSE)," ")</f>
        <v>Amsterdam, Netherlands</v>
      </c>
      <c r="F50" s="112" t="str">
        <f>IFERROR(VLOOKUP(F49,Itinerary!$B$9:$E$108,2,FALSE)," ")</f>
        <v>Amsterdam, Netherlands</v>
      </c>
      <c r="G50" s="112" t="str">
        <f>IFERROR(VLOOKUP(G49,Itinerary!$B$9:$E$108,2,FALSE)," ")</f>
        <v>Amsterdam, Netherlands</v>
      </c>
      <c r="H50" s="112" t="str">
        <f>IFERROR(VLOOKUP(H49,Itinerary!$B$9:$E$108,2,FALSE)," ")</f>
        <v>Amsterdam, Netherlands</v>
      </c>
    </row>
    <row r="51" spans="1:8" s="125" customFormat="1" ht="29.1">
      <c r="A51" s="130"/>
      <c r="B51" s="126" t="str">
        <f>IFERROR(VLOOKUP(B49,Itinerary!$B$9:$E$108,3,FALSE)," ")</f>
        <v>St. Christophers Inn Berlin</v>
      </c>
      <c r="C51" s="126" t="str">
        <f>IFERROR(VLOOKUP(C49,Itinerary!$B$9:$E$108,3,FALSE)," ")</f>
        <v>St. Christophers Inn Berlin</v>
      </c>
      <c r="D51" s="126" t="str">
        <f>IFERROR(VLOOKUP(D49,Itinerary!$B$9:$E$108,3,FALSE)," ")</f>
        <v>St. Christophers Inn Berlin</v>
      </c>
      <c r="E51" s="126" t="str">
        <f>IFERROR(VLOOKUP(E49,Itinerary!$B$9:$E$108,3,FALSE)," ")</f>
        <v>Hans Brinker Hostel</v>
      </c>
      <c r="F51" s="126" t="str">
        <f>IFERROR(VLOOKUP(F49,Itinerary!$B$9:$E$108,3,FALSE)," ")</f>
        <v>Hans Brinker Hostel</v>
      </c>
      <c r="G51" s="126" t="str">
        <f>IFERROR(VLOOKUP(G49,Itinerary!$B$9:$E$108,3,FALSE)," ")</f>
        <v>Hans Brinker Hostel</v>
      </c>
      <c r="H51" s="126" t="str">
        <f>IFERROR(VLOOKUP(H49,Itinerary!$B$9:$E$108,3,FALSE)," ")</f>
        <v>Hans Brinker Hostel</v>
      </c>
    </row>
    <row r="52" spans="1:8" s="143" customFormat="1">
      <c r="A52" s="145"/>
      <c r="B52" s="148" t="str">
        <f>IFERROR(IF(VLOOKUP(B49,Itinerary!$B$9:$E$108,4,FALSE)="Yes","TRAVEL DAY"," ")," ")</f>
        <v xml:space="preserve"> </v>
      </c>
      <c r="C52" s="148" t="str">
        <f>IFERROR(IF(VLOOKUP(C49,Itinerary!$B$9:$E$108,4,FALSE)="Yes","TRAVEL DAY"," ")," ")</f>
        <v xml:space="preserve"> </v>
      </c>
      <c r="D52" s="148" t="str">
        <f>IFERROR(IF(VLOOKUP(D49,Itinerary!$B$9:$E$108,4,FALSE)="Yes","TRAVEL DAY"," ")," ")</f>
        <v xml:space="preserve"> </v>
      </c>
      <c r="E52" s="148" t="str">
        <f>IFERROR(IF(VLOOKUP(E49,Itinerary!$B$9:$E$108,4,FALSE)="Yes","TRAVEL DAY"," ")," ")</f>
        <v>TRAVEL DAY</v>
      </c>
      <c r="F52" s="148" t="str">
        <f>IFERROR(IF(VLOOKUP(F49,Itinerary!$B$9:$E$108,4,FALSE)="Yes","TRAVEL DAY"," ")," ")</f>
        <v xml:space="preserve"> </v>
      </c>
      <c r="G52" s="148" t="str">
        <f>IFERROR(IF(VLOOKUP(G49,Itinerary!$B$9:$E$108,4,FALSE)="Yes","TRAVEL DAY"," ")," ")</f>
        <v xml:space="preserve"> </v>
      </c>
      <c r="H52" s="148" t="str">
        <f>IFERROR(IF(VLOOKUP(H49,Itinerary!$B$9:$E$108,4,FALSE)="Yes","TRAVEL DAY"," ")," ")</f>
        <v xml:space="preserve"> </v>
      </c>
    </row>
    <row r="53" spans="1:8" ht="58.35" customHeight="1" thickBot="1">
      <c r="A53" s="97"/>
      <c r="B53" s="38"/>
      <c r="C53" s="244"/>
      <c r="D53" s="38"/>
      <c r="E53" s="244"/>
      <c r="F53" s="38"/>
      <c r="G53" s="244"/>
      <c r="H53" s="38"/>
    </row>
    <row r="54" spans="1:8">
      <c r="A54" s="97"/>
      <c r="B54" s="37">
        <f>'Itinerary-CODE'!B12</f>
        <v>44724</v>
      </c>
      <c r="C54" s="37">
        <f>'Itinerary-CODE'!C12</f>
        <v>44725</v>
      </c>
      <c r="D54" s="37">
        <f>'Itinerary-CODE'!D12</f>
        <v>44726</v>
      </c>
      <c r="E54" s="37">
        <f>'Itinerary-CODE'!E12</f>
        <v>44727</v>
      </c>
      <c r="F54" s="37">
        <f>'Itinerary-CODE'!F12</f>
        <v>44728</v>
      </c>
      <c r="G54" s="37">
        <f>'Itinerary-CODE'!G12</f>
        <v>44729</v>
      </c>
      <c r="H54" s="37">
        <f>'Itinerary-CODE'!H12</f>
        <v>44730</v>
      </c>
    </row>
    <row r="55" spans="1:8">
      <c r="A55" s="97"/>
      <c r="B55" s="113" t="str">
        <f>IFERROR(VLOOKUP(B54,Itinerary!$B$9:$E$108,2,FALSE)," ")</f>
        <v>Amsterdam, Netherlands</v>
      </c>
      <c r="C55" s="113" t="str">
        <f>IFERROR(VLOOKUP(C54,Itinerary!$B$9:$E$108,2,FALSE)," ")</f>
        <v>Copenhagen, Denmark</v>
      </c>
      <c r="D55" s="113" t="str">
        <f>IFERROR(VLOOKUP(D54,Itinerary!$B$9:$E$108,2,FALSE)," ")</f>
        <v>Copenhagen, Denmark</v>
      </c>
      <c r="E55" s="113" t="str">
        <f>IFERROR(VLOOKUP(E54,Itinerary!$B$9:$E$108,2,FALSE)," ")</f>
        <v>Copenhagen, Denmark</v>
      </c>
      <c r="F55" s="113" t="str">
        <f>IFERROR(VLOOKUP(F54,Itinerary!$B$9:$E$108,2,FALSE)," ")</f>
        <v>Copenhagen, Denmark</v>
      </c>
      <c r="G55" s="113" t="str">
        <f>IFERROR(VLOOKUP(G54,Itinerary!$B$9:$E$108,2,FALSE)," ")</f>
        <v>Dublin, Ireland</v>
      </c>
      <c r="H55" s="113" t="str">
        <f>IFERROR(VLOOKUP(H54,Itinerary!$B$9:$E$108,2,FALSE)," ")</f>
        <v>Dublin, Ireland</v>
      </c>
    </row>
    <row r="56" spans="1:8" s="125" customFormat="1">
      <c r="A56" s="130"/>
      <c r="B56" s="127" t="str">
        <f>IFERROR(VLOOKUP(B54,Itinerary!$B$9:$E$108,3,FALSE)," ")</f>
        <v>Hans Brinker Hostel</v>
      </c>
      <c r="C56" s="127" t="str">
        <f>IFERROR(VLOOKUP(C54,Itinerary!$B$9:$E$108,3,FALSE)," ")</f>
        <v>Generator Copenhagen</v>
      </c>
      <c r="D56" s="127" t="str">
        <f>IFERROR(VLOOKUP(D54,Itinerary!$B$9:$E$108,3,FALSE)," ")</f>
        <v>Generator Copenhagen</v>
      </c>
      <c r="E56" s="127" t="str">
        <f>IFERROR(VLOOKUP(E54,Itinerary!$B$9:$E$108,3,FALSE)," ")</f>
        <v>Generator Copenhagen</v>
      </c>
      <c r="F56" s="127" t="str">
        <f>IFERROR(VLOOKUP(F54,Itinerary!$B$9:$E$108,3,FALSE)," ")</f>
        <v>Generator Copenhagen</v>
      </c>
      <c r="G56" s="127" t="str">
        <f>IFERROR(VLOOKUP(G54,Itinerary!$B$9:$E$108,3,FALSE)," ")</f>
        <v>Abbey Court Hostel</v>
      </c>
      <c r="H56" s="127" t="str">
        <f>IFERROR(VLOOKUP(H54,Itinerary!$B$9:$E$108,3,FALSE)," ")</f>
        <v>Abbey Court Hostel</v>
      </c>
    </row>
    <row r="57" spans="1:8" s="143" customFormat="1">
      <c r="A57" s="145"/>
      <c r="B57" s="144" t="str">
        <f>IFERROR(IF(VLOOKUP(B54,Itinerary!$B$9:$E$108,4,FALSE)="Yes","TRAVEL DAY"," ")," ")</f>
        <v xml:space="preserve"> </v>
      </c>
      <c r="C57" s="144" t="str">
        <f>IFERROR(IF(VLOOKUP(C54,Itinerary!$B$9:$E$108,4,FALSE)="Yes","TRAVEL DAY"," ")," ")</f>
        <v>TRAVEL DAY</v>
      </c>
      <c r="D57" s="144" t="str">
        <f>IFERROR(IF(VLOOKUP(D54,Itinerary!$B$9:$E$108,4,FALSE)="Yes","TRAVEL DAY"," ")," ")</f>
        <v xml:space="preserve"> </v>
      </c>
      <c r="E57" s="144" t="str">
        <f>IFERROR(IF(VLOOKUP(E54,Itinerary!$B$9:$E$108,4,FALSE)="Yes","TRAVEL DAY"," ")," ")</f>
        <v xml:space="preserve"> </v>
      </c>
      <c r="F57" s="144" t="str">
        <f>IFERROR(IF(VLOOKUP(F54,Itinerary!$B$9:$E$108,4,FALSE)="Yes","TRAVEL DAY"," ")," ")</f>
        <v xml:space="preserve"> </v>
      </c>
      <c r="G57" s="144" t="str">
        <f>IFERROR(IF(VLOOKUP(G54,Itinerary!$B$9:$E$108,4,FALSE)="Yes","TRAVEL DAY"," ")," ")</f>
        <v>TRAVEL DAY</v>
      </c>
      <c r="H57" s="144" t="str">
        <f>IFERROR(IF(VLOOKUP(H54,Itinerary!$B$9:$E$108,4,FALSE)="Yes","TRAVEL DAY"," ")," ")</f>
        <v xml:space="preserve"> </v>
      </c>
    </row>
    <row r="58" spans="1:8" ht="58.35" customHeight="1" thickBot="1">
      <c r="A58" s="97"/>
      <c r="B58" s="104"/>
      <c r="C58" s="105"/>
      <c r="D58" s="104"/>
      <c r="E58" s="105"/>
      <c r="F58" s="104"/>
      <c r="G58" s="105"/>
      <c r="H58" s="104"/>
    </row>
    <row r="59" spans="1:8">
      <c r="A59" s="97"/>
      <c r="B59" s="106">
        <f>'Itinerary-CODE'!B13</f>
        <v>44731</v>
      </c>
      <c r="C59" s="106">
        <f>'Itinerary-CODE'!C13</f>
        <v>44732</v>
      </c>
      <c r="D59" s="106">
        <f>'Itinerary-CODE'!D13</f>
        <v>44733</v>
      </c>
      <c r="E59" s="106">
        <f>'Itinerary-CODE'!E13</f>
        <v>44734</v>
      </c>
      <c r="F59" s="106">
        <f>'Itinerary-CODE'!F13</f>
        <v>44735</v>
      </c>
      <c r="G59" s="106">
        <f>'Itinerary-CODE'!G13</f>
        <v>44736</v>
      </c>
      <c r="H59" s="106">
        <f>'Itinerary-CODE'!H13</f>
        <v>44737</v>
      </c>
    </row>
    <row r="60" spans="1:8">
      <c r="A60" s="97"/>
      <c r="B60" s="112" t="str">
        <f>IFERROR(VLOOKUP(B59,Itinerary!$B$9:$E$108,2,FALSE)," ")</f>
        <v>Dublin, Ireland</v>
      </c>
      <c r="C60" s="112" t="str">
        <f>IFERROR(VLOOKUP(C59,Itinerary!$B$9:$E$108,2,FALSE)," ")</f>
        <v>Dublin, Ireland</v>
      </c>
      <c r="D60" s="112" t="str">
        <f>IFERROR(VLOOKUP(D59,Itinerary!$B$9:$E$108,2,FALSE)," ")</f>
        <v>Dublin, Ireland</v>
      </c>
      <c r="E60" s="112" t="str">
        <f>IFERROR(VLOOKUP(E59,Itinerary!$B$9:$E$108,2,FALSE)," ")</f>
        <v>Dublin, Ireland</v>
      </c>
      <c r="F60" s="112" t="str">
        <f>IFERROR(VLOOKUP(F59,Itinerary!$B$9:$E$108,2,FALSE)," ")</f>
        <v>Edinburgh, Scotland</v>
      </c>
      <c r="G60" s="112" t="str">
        <f>IFERROR(VLOOKUP(G59,Itinerary!$B$9:$E$108,2,FALSE)," ")</f>
        <v>Edinburgh, Scotland</v>
      </c>
      <c r="H60" s="112" t="str">
        <f>IFERROR(VLOOKUP(H59,Itinerary!$B$9:$E$108,2,FALSE)," ")</f>
        <v>Edinburgh, Scotland</v>
      </c>
    </row>
    <row r="61" spans="1:8" s="125" customFormat="1" ht="29.1">
      <c r="A61" s="130"/>
      <c r="B61" s="126" t="str">
        <f>IFERROR(VLOOKUP(B59,Itinerary!$B$9:$E$108,3,FALSE)," ")</f>
        <v>Abbey Court Hostel</v>
      </c>
      <c r="C61" s="126" t="str">
        <f>IFERROR(VLOOKUP(C59,Itinerary!$B$9:$E$108,3,FALSE)," ")</f>
        <v>Abbey Court Hostel</v>
      </c>
      <c r="D61" s="126" t="str">
        <f>IFERROR(VLOOKUP(D59,Itinerary!$B$9:$E$108,3,FALSE)," ")</f>
        <v>Abbey Court Hostel</v>
      </c>
      <c r="E61" s="126" t="str">
        <f>IFERROR(VLOOKUP(E59,Itinerary!$B$9:$E$108,3,FALSE)," ")</f>
        <v>Abbey Court Hostel</v>
      </c>
      <c r="F61" s="126" t="str">
        <f>IFERROR(VLOOKUP(F59,Itinerary!$B$9:$E$108,3,FALSE)," ")</f>
        <v>Kick Ass Greyfriars</v>
      </c>
      <c r="G61" s="126" t="str">
        <f>IFERROR(VLOOKUP(G59,Itinerary!$B$9:$E$108,3,FALSE)," ")</f>
        <v>Kick Ass Greyfriars</v>
      </c>
      <c r="H61" s="126" t="str">
        <f>IFERROR(VLOOKUP(H59,Itinerary!$B$9:$E$108,3,FALSE)," ")</f>
        <v>Kick Ass Greyfriars</v>
      </c>
    </row>
    <row r="62" spans="1:8" s="143" customFormat="1">
      <c r="A62" s="145"/>
      <c r="B62" s="148" t="str">
        <f>IFERROR(IF(VLOOKUP(B59,Itinerary!$B$9:$E$108,4,FALSE)="Yes","TRAVEL DAY"," ")," ")</f>
        <v xml:space="preserve"> </v>
      </c>
      <c r="C62" s="148" t="str">
        <f>IFERROR(IF(VLOOKUP(C59,Itinerary!$B$9:$E$108,4,FALSE)="Yes","TRAVEL DAY"," ")," ")</f>
        <v xml:space="preserve"> </v>
      </c>
      <c r="D62" s="148" t="str">
        <f>IFERROR(IF(VLOOKUP(D59,Itinerary!$B$9:$E$108,4,FALSE)="Yes","TRAVEL DAY"," ")," ")</f>
        <v xml:space="preserve"> </v>
      </c>
      <c r="E62" s="148" t="str">
        <f>IFERROR(IF(VLOOKUP(E59,Itinerary!$B$9:$E$108,4,FALSE)="Yes","TRAVEL DAY"," ")," ")</f>
        <v xml:space="preserve"> </v>
      </c>
      <c r="F62" s="148" t="str">
        <f>IFERROR(IF(VLOOKUP(F59,Itinerary!$B$9:$E$108,4,FALSE)="Yes","TRAVEL DAY"," ")," ")</f>
        <v>TRAVEL DAY</v>
      </c>
      <c r="G62" s="148" t="str">
        <f>IFERROR(IF(VLOOKUP(G59,Itinerary!$B$9:$E$108,4,FALSE)="Yes","TRAVEL DAY"," ")," ")</f>
        <v xml:space="preserve"> </v>
      </c>
      <c r="H62" s="148" t="str">
        <f>IFERROR(IF(VLOOKUP(H59,Itinerary!$B$9:$E$108,4,FALSE)="Yes","TRAVEL DAY"," ")," ")</f>
        <v xml:space="preserve"> </v>
      </c>
    </row>
    <row r="63" spans="1:8" ht="58.35" customHeight="1" thickBot="1">
      <c r="A63" s="97"/>
      <c r="B63" s="38"/>
      <c r="C63" s="244"/>
      <c r="D63" s="38"/>
      <c r="E63" s="244"/>
      <c r="F63" s="38"/>
      <c r="G63" s="244"/>
      <c r="H63" s="38"/>
    </row>
    <row r="64" spans="1:8">
      <c r="A64" s="97"/>
      <c r="B64" s="37">
        <f>'Itinerary-CODE'!B14</f>
        <v>44738</v>
      </c>
      <c r="C64" s="37">
        <f>'Itinerary-CODE'!C14</f>
        <v>44739</v>
      </c>
      <c r="D64" s="37">
        <f>'Itinerary-CODE'!D14</f>
        <v>44740</v>
      </c>
      <c r="E64" s="37">
        <f>'Itinerary-CODE'!E14</f>
        <v>44741</v>
      </c>
      <c r="F64" s="37">
        <f>'Itinerary-CODE'!F14</f>
        <v>44742</v>
      </c>
      <c r="G64" s="37" t="str">
        <f>'Itinerary-CODE'!G14</f>
        <v/>
      </c>
      <c r="H64" s="37" t="str">
        <f>'Itinerary-CODE'!H14</f>
        <v/>
      </c>
    </row>
    <row r="65" spans="1:8">
      <c r="A65" s="97"/>
      <c r="B65" s="113" t="str">
        <f>IFERROR(VLOOKUP(B64,Itinerary!$B$9:$E$108,2,FALSE)," ")</f>
        <v>Edinburgh, Scotland</v>
      </c>
      <c r="C65" s="113" t="str">
        <f>IFERROR(VLOOKUP(C64,Itinerary!$B$9:$E$108,2,FALSE)," ")</f>
        <v>Edinburgh, Scotland</v>
      </c>
      <c r="D65" s="113" t="str">
        <f>IFERROR(VLOOKUP(D64,Itinerary!$B$9:$E$108,2,FALSE)," ")</f>
        <v>London, England</v>
      </c>
      <c r="E65" s="113" t="str">
        <f>IFERROR(VLOOKUP(E64,Itinerary!$B$9:$E$108,2,FALSE)," ")</f>
        <v>London, England</v>
      </c>
      <c r="F65" s="113" t="str">
        <f>IFERROR(VLOOKUP(F64,Itinerary!$B$9:$E$108,2,FALSE)," ")</f>
        <v>London, England</v>
      </c>
      <c r="G65" s="113" t="str">
        <f>IFERROR(VLOOKUP(G64,Itinerary!$B$9:$E$108,2,FALSE)," ")</f>
        <v xml:space="preserve"> </v>
      </c>
      <c r="H65" s="113" t="str">
        <f>IFERROR(VLOOKUP(H64,Itinerary!$B$9:$E$108,2,FALSE)," ")</f>
        <v xml:space="preserve"> </v>
      </c>
    </row>
    <row r="66" spans="1:8" s="125" customFormat="1" ht="29.1">
      <c r="A66" s="130"/>
      <c r="B66" s="127" t="str">
        <f>IFERROR(VLOOKUP(B64,Itinerary!$B$9:$E$108,3,FALSE)," ")</f>
        <v>Kick Ass Greyfriars</v>
      </c>
      <c r="C66" s="127" t="str">
        <f>IFERROR(VLOOKUP(C64,Itinerary!$B$9:$E$108,3,FALSE)," ")</f>
        <v>Kick Ass Greyfriars</v>
      </c>
      <c r="D66" s="127" t="str">
        <f>IFERROR(VLOOKUP(D64,Itinerary!$B$9:$E$108,3,FALSE)," ")</f>
        <v>PubLove @ The White Ferry</v>
      </c>
      <c r="E66" s="127" t="str">
        <f>IFERROR(VLOOKUP(E64,Itinerary!$B$9:$E$108,3,FALSE)," ")</f>
        <v>PubLove @ The White Ferry</v>
      </c>
      <c r="F66" s="127" t="str">
        <f>IFERROR(VLOOKUP(F64,Itinerary!$B$9:$E$108,3,FALSE)," ")</f>
        <v>PubLove @ The White Ferry</v>
      </c>
      <c r="G66" s="127" t="str">
        <f>IFERROR(VLOOKUP(G64,Itinerary!$B$9:$E$108,3,FALSE)," ")</f>
        <v xml:space="preserve"> </v>
      </c>
      <c r="H66" s="127" t="str">
        <f>IFERROR(VLOOKUP(H64,Itinerary!$B$9:$E$108,3,FALSE)," ")</f>
        <v xml:space="preserve"> </v>
      </c>
    </row>
    <row r="67" spans="1:8" s="143" customFormat="1">
      <c r="A67" s="145"/>
      <c r="B67" s="144" t="str">
        <f>IFERROR(IF(VLOOKUP(B64,Itinerary!$B$9:$E$108,4,FALSE)="Yes","TRAVEL DAY"," ")," ")</f>
        <v xml:space="preserve"> </v>
      </c>
      <c r="C67" s="144" t="str">
        <f>IFERROR(IF(VLOOKUP(C64,Itinerary!$B$9:$E$108,4,FALSE)="Yes","TRAVEL DAY"," ")," ")</f>
        <v xml:space="preserve"> </v>
      </c>
      <c r="D67" s="144" t="str">
        <f>IFERROR(IF(VLOOKUP(D64,Itinerary!$B$9:$E$108,4,FALSE)="Yes","TRAVEL DAY"," ")," ")</f>
        <v>TRAVEL DAY</v>
      </c>
      <c r="E67" s="144" t="str">
        <f>IFERROR(IF(VLOOKUP(E64,Itinerary!$B$9:$E$108,4,FALSE)="Yes","TRAVEL DAY"," ")," ")</f>
        <v xml:space="preserve"> </v>
      </c>
      <c r="F67" s="144" t="str">
        <f>IFERROR(IF(VLOOKUP(F64,Itinerary!$B$9:$E$108,4,FALSE)="Yes","TRAVEL DAY"," ")," ")</f>
        <v xml:space="preserve"> </v>
      </c>
      <c r="G67" s="146"/>
      <c r="H67" s="147"/>
    </row>
    <row r="68" spans="1:8" ht="58.35" customHeight="1" thickBot="1">
      <c r="A68" s="97"/>
      <c r="B68" s="104"/>
      <c r="C68" s="105"/>
      <c r="D68" s="104"/>
      <c r="E68" s="105"/>
      <c r="F68" s="104"/>
      <c r="G68" s="105"/>
      <c r="H68" s="104"/>
    </row>
    <row r="69" spans="1:8">
      <c r="B69" s="100" t="str">
        <f>'Itinerary-CODE'!B15</f>
        <v/>
      </c>
      <c r="C69" s="100" t="str">
        <f>'Itinerary-CODE'!C15</f>
        <v/>
      </c>
      <c r="D69" s="100" t="str">
        <f>'Itinerary-CODE'!D15</f>
        <v/>
      </c>
      <c r="E69" s="262" t="str">
        <f>'Itinerary-CODE'!E15</f>
        <v/>
      </c>
      <c r="F69" s="263"/>
      <c r="G69" s="263"/>
      <c r="H69" s="264"/>
    </row>
    <row r="70" spans="1:8">
      <c r="B70" s="112" t="str">
        <f>IFERROR(VLOOKUP(B69,Itinerary!$B$9:$E$108,2,FALSE)," ")</f>
        <v xml:space="preserve"> </v>
      </c>
      <c r="C70" s="112" t="str">
        <f>IFERROR(VLOOKUP(C69,Itinerary!$B$9:$E$108,2,FALSE)," ")</f>
        <v xml:space="preserve"> </v>
      </c>
      <c r="D70" s="112" t="str">
        <f>IFERROR(VLOOKUP(D69,Itinerary!$B$9:$E$108,2,FALSE)," ")</f>
        <v xml:space="preserve"> </v>
      </c>
      <c r="E70" s="265"/>
      <c r="F70" s="266"/>
      <c r="G70" s="266"/>
      <c r="H70" s="267"/>
    </row>
    <row r="71" spans="1:8" s="125" customFormat="1">
      <c r="B71" s="126" t="str">
        <f>IFERROR(VLOOKUP(B69,Itinerary!$B$9:$E$108,3,FALSE)," ")</f>
        <v xml:space="preserve"> </v>
      </c>
      <c r="C71" s="126" t="str">
        <f>IFERROR(VLOOKUP(C69,Itinerary!$B$9:$E$108,3,FALSE)," ")</f>
        <v xml:space="preserve"> </v>
      </c>
      <c r="D71" s="126" t="str">
        <f>IFERROR(VLOOKUP(D69,Itinerary!$B$9:$E$108,3,FALSE)," ")</f>
        <v xml:space="preserve"> </v>
      </c>
      <c r="E71" s="265"/>
      <c r="F71" s="266"/>
      <c r="G71" s="266"/>
      <c r="H71" s="267"/>
    </row>
    <row r="72" spans="1:8" s="143" customFormat="1">
      <c r="B72" s="148" t="str">
        <f>IFERROR(IF(VLOOKUP(B69,Itinerary!$B$9:$E$108,4,FALSE)="Yes","TRAVEL DAY"," ")," ")</f>
        <v xml:space="preserve"> </v>
      </c>
      <c r="C72" s="148" t="str">
        <f>IFERROR(IF(VLOOKUP(C69,Itinerary!$B$9:$E$108,4,FALSE)="Yes","TRAVEL DAY"," ")," ")</f>
        <v xml:space="preserve"> </v>
      </c>
      <c r="D72" s="148" t="str">
        <f>IFERROR(IF(VLOOKUP(D69,Itinerary!$B$9:$E$108,4,FALSE)="Yes","TRAVEL DAY"," ")," ")</f>
        <v xml:space="preserve"> </v>
      </c>
      <c r="E72" s="265"/>
      <c r="F72" s="266"/>
      <c r="G72" s="266"/>
      <c r="H72" s="267"/>
    </row>
    <row r="73" spans="1:8" ht="58.35" customHeight="1" thickBot="1">
      <c r="B73" s="101"/>
      <c r="C73" s="102"/>
      <c r="D73" s="101"/>
      <c r="E73" s="268"/>
      <c r="F73" s="269"/>
      <c r="G73" s="269"/>
      <c r="H73" s="270"/>
    </row>
    <row r="74" spans="1:8" s="108" customFormat="1" ht="45.6" customHeight="1" thickBot="1">
      <c r="B74" s="271" t="str" cm="1">
        <f t="array" ref="B74">(_xlfn.IFS(DreamStartMonth3=1,"January ",DreamStartMonth3=2,"February ",DreamStartMonth3=3,"March ",DreamStartMonth3=4,"April ",DreamStartMonth3=5,"May ",DreamStartMonth3=6,"June ",DreamStartMonth3=7,"July ",DreamStartMonth3=8,"August ",DreamStartMonth3=9,"September ",DreamStartMonth3=10,"October ",DreamStartMonth3=11,"November ",DreamStartMonth3=12,"December "))&amp;YEAR(B81)</f>
        <v>July 2022</v>
      </c>
      <c r="C74" s="271"/>
      <c r="D74" s="271"/>
      <c r="E74" s="109"/>
      <c r="F74" s="109"/>
      <c r="G74" s="109"/>
      <c r="H74" s="109"/>
    </row>
    <row r="75" spans="1:8" ht="15" thickBot="1">
      <c r="B75" s="96" t="s">
        <v>53</v>
      </c>
      <c r="C75" s="34" t="s">
        <v>54</v>
      </c>
      <c r="D75" s="96" t="s">
        <v>55</v>
      </c>
      <c r="E75" s="34" t="s">
        <v>56</v>
      </c>
      <c r="F75" s="96" t="s">
        <v>57</v>
      </c>
      <c r="G75" s="34" t="s">
        <v>48</v>
      </c>
      <c r="H75" s="96" t="s">
        <v>58</v>
      </c>
    </row>
    <row r="76" spans="1:8">
      <c r="B76" s="37" t="str">
        <f>'Itinerary-CODE'!B16</f>
        <v/>
      </c>
      <c r="C76" s="37" t="str">
        <f>'Itinerary-CODE'!C16</f>
        <v/>
      </c>
      <c r="D76" s="37" t="str">
        <f>'Itinerary-CODE'!D16</f>
        <v/>
      </c>
      <c r="E76" s="37" t="str">
        <f>'Itinerary-CODE'!E16</f>
        <v/>
      </c>
      <c r="F76" s="37" t="str">
        <f>'Itinerary-CODE'!F16</f>
        <v/>
      </c>
      <c r="G76" s="37">
        <f>'Itinerary-CODE'!G16</f>
        <v>44743</v>
      </c>
      <c r="H76" s="37">
        <f>'Itinerary-CODE'!H16</f>
        <v>44744</v>
      </c>
    </row>
    <row r="77" spans="1:8">
      <c r="B77" s="113" t="str">
        <f>IFERROR(VLOOKUP(B76,Itinerary!$B$9:$E$108,2,FALSE)," ")</f>
        <v xml:space="preserve"> </v>
      </c>
      <c r="C77" s="113" t="str">
        <f>IFERROR(VLOOKUP(C76,Itinerary!$B$9:$E$108,2,FALSE)," ")</f>
        <v xml:space="preserve"> </v>
      </c>
      <c r="D77" s="113" t="str">
        <f>IFERROR(VLOOKUP(D76,Itinerary!$B$9:$E$108,2,FALSE)," ")</f>
        <v xml:space="preserve"> </v>
      </c>
      <c r="E77" s="113" t="str">
        <f>IFERROR(VLOOKUP(E76,Itinerary!$B$9:$E$108,2,FALSE)," ")</f>
        <v xml:space="preserve"> </v>
      </c>
      <c r="F77" s="113" t="str">
        <f>IFERROR(VLOOKUP(F76,Itinerary!$B$9:$E$108,2,FALSE)," ")</f>
        <v xml:space="preserve"> </v>
      </c>
      <c r="G77" s="113" t="str">
        <f>IFERROR(VLOOKUP(G76,Itinerary!$B$9:$E$108,2,FALSE)," ")</f>
        <v>London, England</v>
      </c>
      <c r="H77" s="113" t="str">
        <f>IFERROR(VLOOKUP(H76,Itinerary!$B$9:$E$108,2,FALSE)," ")</f>
        <v>London, England</v>
      </c>
    </row>
    <row r="78" spans="1:8" s="125" customFormat="1">
      <c r="B78" s="127" t="str">
        <f>IFERROR(VLOOKUP(B76,Itinerary!$B$9:$E$108,3,FALSE)," ")</f>
        <v xml:space="preserve"> </v>
      </c>
      <c r="C78" s="127" t="str">
        <f>IFERROR(VLOOKUP(C76,Itinerary!$B$9:$E$108,3,FALSE)," ")</f>
        <v xml:space="preserve"> </v>
      </c>
      <c r="D78" s="127" t="str">
        <f>IFERROR(VLOOKUP(D76,Itinerary!$B$9:$E$108,3,FALSE)," ")</f>
        <v xml:space="preserve"> </v>
      </c>
      <c r="E78" s="127" t="str">
        <f>IFERROR(VLOOKUP(E76,Itinerary!$B$9:$E$108,3,FALSE)," ")</f>
        <v xml:space="preserve"> </v>
      </c>
      <c r="F78" s="127" t="str">
        <f>IFERROR(VLOOKUP(F76,Itinerary!$B$9:$E$108,3,FALSE)," ")</f>
        <v xml:space="preserve"> </v>
      </c>
      <c r="G78" s="127" t="str">
        <f>IFERROR(VLOOKUP(G76,Itinerary!$B$9:$E$108,3,FALSE)," ")</f>
        <v>PubLove @ The White Ferry</v>
      </c>
      <c r="H78" s="127" t="str">
        <f>IFERROR(VLOOKUP(H76,Itinerary!$B$9:$E$108,3,FALSE)," ")</f>
        <v>PubLove @ The White Ferry</v>
      </c>
    </row>
    <row r="79" spans="1:8" s="143" customFormat="1">
      <c r="B79" s="144" t="str">
        <f>IFERROR(IF(VLOOKUP(B76,Itinerary!$B$9:$E$108,4,FALSE)="Yes","TRAVEL DAY"," ")," ")</f>
        <v xml:space="preserve"> </v>
      </c>
      <c r="C79" s="144" t="str">
        <f>IFERROR(IF(VLOOKUP(C76,Itinerary!$B$9:$E$108,4,FALSE)="Yes","TRAVEL DAY"," ")," ")</f>
        <v xml:space="preserve"> </v>
      </c>
      <c r="D79" s="144" t="str">
        <f>IFERROR(IF(VLOOKUP(D76,Itinerary!$B$9:$E$108,4,FALSE)="Yes","TRAVEL DAY"," ")," ")</f>
        <v xml:space="preserve"> </v>
      </c>
      <c r="E79" s="144" t="str">
        <f>IFERROR(IF(VLOOKUP(E76,Itinerary!$B$9:$E$108,4,FALSE)="Yes","TRAVEL DAY"," ")," ")</f>
        <v xml:space="preserve"> </v>
      </c>
      <c r="F79" s="144" t="str">
        <f>IFERROR(IF(VLOOKUP(F76,Itinerary!$B$9:$E$108,4,FALSE)="Yes","TRAVEL DAY"," ")," ")</f>
        <v xml:space="preserve"> </v>
      </c>
      <c r="G79" s="144" t="str">
        <f>IFERROR(IF(VLOOKUP(G76,Itinerary!$B$9:$E$108,4,FALSE)="Yes","TRAVEL DAY"," ")," ")</f>
        <v xml:space="preserve"> </v>
      </c>
      <c r="H79" s="144" t="str">
        <f>IFERROR(IF(VLOOKUP(H76,Itinerary!$B$9:$E$108,4,FALSE)="Yes","TRAVEL DAY"," ")," ")</f>
        <v xml:space="preserve"> </v>
      </c>
    </row>
    <row r="80" spans="1:8" ht="58.35" customHeight="1" thickBot="1">
      <c r="B80" s="104"/>
      <c r="C80" s="105"/>
      <c r="D80" s="104"/>
      <c r="E80" s="105"/>
      <c r="F80" s="104"/>
      <c r="G80" s="105"/>
      <c r="H80" s="104"/>
    </row>
    <row r="81" spans="2:8">
      <c r="B81" s="106">
        <f>'Itinerary-CODE'!B17</f>
        <v>44745</v>
      </c>
      <c r="C81" s="106">
        <f>'Itinerary-CODE'!C17</f>
        <v>44746</v>
      </c>
      <c r="D81" s="106">
        <f>'Itinerary-CODE'!D17</f>
        <v>44747</v>
      </c>
      <c r="E81" s="106">
        <f>'Itinerary-CODE'!E17</f>
        <v>44748</v>
      </c>
      <c r="F81" s="106">
        <f>'Itinerary-CODE'!F17</f>
        <v>44749</v>
      </c>
      <c r="G81" s="106">
        <f>'Itinerary-CODE'!G17</f>
        <v>44750</v>
      </c>
      <c r="H81" s="106">
        <f>'Itinerary-CODE'!H17</f>
        <v>44751</v>
      </c>
    </row>
    <row r="82" spans="2:8">
      <c r="B82" s="112" t="str">
        <f>IFERROR(VLOOKUP(B81,Itinerary!$B$9:$E$108,2,FALSE)," ")</f>
        <v>London, England</v>
      </c>
      <c r="C82" s="112" t="str">
        <f>IFERROR(VLOOKUP(C81,Itinerary!$B$9:$E$108,2,FALSE)," ")</f>
        <v>London, England</v>
      </c>
      <c r="D82" s="112" t="str">
        <f>IFERROR(VLOOKUP(D81,Itinerary!$B$9:$E$108,2,FALSE)," ")</f>
        <v xml:space="preserve"> </v>
      </c>
      <c r="E82" s="112" t="str">
        <f>IFERROR(VLOOKUP(E81,Itinerary!$B$9:$E$108,2,FALSE)," ")</f>
        <v xml:space="preserve"> </v>
      </c>
      <c r="F82" s="112" t="str">
        <f>IFERROR(VLOOKUP(F81,Itinerary!$B$9:$E$108,2,FALSE)," ")</f>
        <v xml:space="preserve"> </v>
      </c>
      <c r="G82" s="112" t="str">
        <f>IFERROR(VLOOKUP(G81,Itinerary!$B$9:$E$108,2,FALSE)," ")</f>
        <v xml:space="preserve"> </v>
      </c>
      <c r="H82" s="112" t="str">
        <f>IFERROR(VLOOKUP(H81,Itinerary!$B$9:$E$108,2,FALSE)," ")</f>
        <v xml:space="preserve"> </v>
      </c>
    </row>
    <row r="83" spans="2:8" s="125" customFormat="1">
      <c r="B83" s="126" t="str">
        <f>IFERROR(VLOOKUP(B81,Itinerary!$B$9:$E$108,3,FALSE)," ")</f>
        <v>PubLove @ The White Ferry</v>
      </c>
      <c r="C83" s="126" t="str">
        <f>IFERROR(VLOOKUP(C81,Itinerary!$B$9:$E$108,3,FALSE)," ")</f>
        <v>PubLove @ The White Ferry</v>
      </c>
      <c r="D83" s="126" t="str">
        <f>IFERROR(VLOOKUP(D81,Itinerary!$B$9:$E$108,3,FALSE)," ")</f>
        <v xml:space="preserve"> </v>
      </c>
      <c r="E83" s="126" t="str">
        <f>IFERROR(VLOOKUP(E81,Itinerary!$B$9:$E$108,3,FALSE)," ")</f>
        <v xml:space="preserve"> </v>
      </c>
      <c r="F83" s="126" t="str">
        <f>IFERROR(VLOOKUP(F81,Itinerary!$B$9:$E$108,3,FALSE)," ")</f>
        <v xml:space="preserve"> </v>
      </c>
      <c r="G83" s="126" t="str">
        <f>IFERROR(VLOOKUP(G81,Itinerary!$B$9:$E$108,3,FALSE)," ")</f>
        <v xml:space="preserve"> </v>
      </c>
      <c r="H83" s="126" t="str">
        <f>IFERROR(VLOOKUP(H81,Itinerary!$B$9:$E$108,3,FALSE)," ")</f>
        <v xml:space="preserve"> </v>
      </c>
    </row>
    <row r="84" spans="2:8" s="143" customFormat="1">
      <c r="B84" s="148" t="str">
        <f>IFERROR(IF(VLOOKUP(B81,Itinerary!$B$9:$E$108,4,FALSE)="Yes","TRAVEL DAY"," ")," ")</f>
        <v xml:space="preserve"> </v>
      </c>
      <c r="C84" s="148" t="str">
        <f>IFERROR(IF(VLOOKUP(C81,Itinerary!$B$9:$E$108,4,FALSE)="Yes","TRAVEL DAY"," ")," ")</f>
        <v xml:space="preserve"> </v>
      </c>
      <c r="D84" s="148" t="str">
        <f>IFERROR(IF(VLOOKUP(D81,Itinerary!$B$9:$E$108,4,FALSE)="Yes","TRAVEL DAY"," ")," ")</f>
        <v>TRAVEL DAY</v>
      </c>
      <c r="E84" s="148" t="str">
        <f>IFERROR(IF(VLOOKUP(E81,Itinerary!$B$9:$E$108,4,FALSE)="Yes","TRAVEL DAY"," ")," ")</f>
        <v xml:space="preserve"> </v>
      </c>
      <c r="F84" s="148" t="str">
        <f>IFERROR(IF(VLOOKUP(F81,Itinerary!$B$9:$E$108,4,FALSE)="Yes","TRAVEL DAY"," ")," ")</f>
        <v xml:space="preserve"> </v>
      </c>
      <c r="G84" s="148" t="str">
        <f>IFERROR(IF(VLOOKUP(G81,Itinerary!$B$9:$E$108,4,FALSE)="Yes","TRAVEL DAY"," ")," ")</f>
        <v xml:space="preserve"> </v>
      </c>
      <c r="H84" s="148" t="str">
        <f>IFERROR(IF(VLOOKUP(H81,Itinerary!$B$9:$E$108,4,FALSE)="Yes","TRAVEL DAY"," ")," ")</f>
        <v xml:space="preserve"> </v>
      </c>
    </row>
    <row r="85" spans="2:8" ht="58.35" customHeight="1" thickBot="1">
      <c r="B85" s="38"/>
      <c r="C85" s="244"/>
      <c r="D85" s="38"/>
      <c r="E85" s="244"/>
      <c r="F85" s="38"/>
      <c r="G85" s="244"/>
      <c r="H85" s="38"/>
    </row>
    <row r="86" spans="2:8">
      <c r="B86" s="37">
        <f>'Itinerary-CODE'!B18</f>
        <v>44752</v>
      </c>
      <c r="C86" s="37">
        <f>'Itinerary-CODE'!C18</f>
        <v>44753</v>
      </c>
      <c r="D86" s="37">
        <f>'Itinerary-CODE'!D18</f>
        <v>44754</v>
      </c>
      <c r="E86" s="37">
        <f>'Itinerary-CODE'!E18</f>
        <v>44755</v>
      </c>
      <c r="F86" s="37">
        <f>'Itinerary-CODE'!F18</f>
        <v>44756</v>
      </c>
      <c r="G86" s="37">
        <f>'Itinerary-CODE'!G18</f>
        <v>44757</v>
      </c>
      <c r="H86" s="37">
        <f>'Itinerary-CODE'!H18</f>
        <v>44758</v>
      </c>
    </row>
    <row r="87" spans="2:8">
      <c r="B87" s="113" t="str">
        <f>IFERROR(VLOOKUP(B86,Itinerary!$B$9:$E$108,2,FALSE)," ")</f>
        <v xml:space="preserve"> </v>
      </c>
      <c r="C87" s="113" t="str">
        <f>IFERROR(VLOOKUP(C86,Itinerary!$B$9:$E$108,2,FALSE)," ")</f>
        <v xml:space="preserve"> </v>
      </c>
      <c r="D87" s="113" t="str">
        <f>IFERROR(VLOOKUP(D86,Itinerary!$B$9:$E$108,2,FALSE)," ")</f>
        <v xml:space="preserve"> </v>
      </c>
      <c r="E87" s="113" t="str">
        <f>IFERROR(VLOOKUP(E86,Itinerary!$B$9:$E$108,2,FALSE)," ")</f>
        <v xml:space="preserve"> </v>
      </c>
      <c r="F87" s="113" t="str">
        <f>IFERROR(VLOOKUP(F86,Itinerary!$B$9:$E$108,2,FALSE)," ")</f>
        <v xml:space="preserve"> </v>
      </c>
      <c r="G87" s="113" t="str">
        <f>IFERROR(VLOOKUP(G86,Itinerary!$B$9:$E$108,2,FALSE)," ")</f>
        <v xml:space="preserve"> </v>
      </c>
      <c r="H87" s="113" t="str">
        <f>IFERROR(VLOOKUP(H86,Itinerary!$B$9:$E$108,2,FALSE)," ")</f>
        <v xml:space="preserve"> </v>
      </c>
    </row>
    <row r="88" spans="2:8" s="125" customFormat="1">
      <c r="B88" s="127" t="str">
        <f>IFERROR(VLOOKUP(B86,Itinerary!$B$9:$E$108,3,FALSE)," ")</f>
        <v xml:space="preserve"> </v>
      </c>
      <c r="C88" s="127" t="str">
        <f>IFERROR(VLOOKUP(C86,Itinerary!$B$9:$E$108,3,FALSE)," ")</f>
        <v xml:space="preserve"> </v>
      </c>
      <c r="D88" s="127" t="str">
        <f>IFERROR(VLOOKUP(D86,Itinerary!$B$9:$E$108,3,FALSE)," ")</f>
        <v xml:space="preserve"> </v>
      </c>
      <c r="E88" s="127" t="str">
        <f>IFERROR(VLOOKUP(E86,Itinerary!$B$9:$E$108,3,FALSE)," ")</f>
        <v xml:space="preserve"> </v>
      </c>
      <c r="F88" s="127" t="str">
        <f>IFERROR(VLOOKUP(F86,Itinerary!$B$9:$E$108,3,FALSE)," ")</f>
        <v xml:space="preserve"> </v>
      </c>
      <c r="G88" s="127" t="str">
        <f>IFERROR(VLOOKUP(G86,Itinerary!$B$9:$E$108,3,FALSE)," ")</f>
        <v xml:space="preserve"> </v>
      </c>
      <c r="H88" s="127" t="str">
        <f>IFERROR(VLOOKUP(H86,Itinerary!$B$9:$E$108,3,FALSE)," ")</f>
        <v xml:space="preserve"> </v>
      </c>
    </row>
    <row r="89" spans="2:8" s="143" customFormat="1">
      <c r="B89" s="144" t="str">
        <f>IFERROR(IF(VLOOKUP(B86,Itinerary!$B$9:$E$108,4,FALSE)="Yes","TRAVEL DAY"," ")," ")</f>
        <v xml:space="preserve"> </v>
      </c>
      <c r="C89" s="144" t="str">
        <f>IFERROR(IF(VLOOKUP(C86,Itinerary!$B$9:$E$108,4,FALSE)="Yes","TRAVEL DAY"," ")," ")</f>
        <v xml:space="preserve"> </v>
      </c>
      <c r="D89" s="144" t="str">
        <f>IFERROR(IF(VLOOKUP(D86,Itinerary!$B$9:$E$108,4,FALSE)="Yes","TRAVEL DAY"," ")," ")</f>
        <v xml:space="preserve"> </v>
      </c>
      <c r="E89" s="144" t="str">
        <f>IFERROR(IF(VLOOKUP(E86,Itinerary!$B$9:$E$108,4,FALSE)="Yes","TRAVEL DAY"," ")," ")</f>
        <v xml:space="preserve"> </v>
      </c>
      <c r="F89" s="144" t="str">
        <f>IFERROR(IF(VLOOKUP(F86,Itinerary!$B$9:$E$108,4,FALSE)="Yes","TRAVEL DAY"," ")," ")</f>
        <v xml:space="preserve"> </v>
      </c>
      <c r="G89" s="144" t="str">
        <f>IFERROR(IF(VLOOKUP(G86,Itinerary!$B$9:$E$108,4,FALSE)="Yes","TRAVEL DAY"," ")," ")</f>
        <v xml:space="preserve"> </v>
      </c>
      <c r="H89" s="144" t="str">
        <f>IFERROR(IF(VLOOKUP(H86,Itinerary!$B$9:$E$108,4,FALSE)="Yes","TRAVEL DAY"," ")," ")</f>
        <v xml:space="preserve"> </v>
      </c>
    </row>
    <row r="90" spans="2:8" ht="58.35" customHeight="1" thickBot="1">
      <c r="B90" s="104"/>
      <c r="C90" s="105"/>
      <c r="D90" s="104"/>
      <c r="E90" s="105"/>
      <c r="F90" s="104"/>
      <c r="G90" s="105"/>
      <c r="H90" s="104"/>
    </row>
    <row r="91" spans="2:8">
      <c r="B91" s="106">
        <f>'Itinerary-CODE'!B19</f>
        <v>44759</v>
      </c>
      <c r="C91" s="106">
        <f>'Itinerary-CODE'!C19</f>
        <v>44760</v>
      </c>
      <c r="D91" s="106">
        <f>'Itinerary-CODE'!D19</f>
        <v>44761</v>
      </c>
      <c r="E91" s="106">
        <f>'Itinerary-CODE'!E19</f>
        <v>44762</v>
      </c>
      <c r="F91" s="106">
        <f>'Itinerary-CODE'!F19</f>
        <v>44763</v>
      </c>
      <c r="G91" s="106">
        <f>'Itinerary-CODE'!G19</f>
        <v>44764</v>
      </c>
      <c r="H91" s="106">
        <f>'Itinerary-CODE'!H19</f>
        <v>44765</v>
      </c>
    </row>
    <row r="92" spans="2:8">
      <c r="B92" s="112" t="str">
        <f>IFERROR(VLOOKUP(B91,Itinerary!$B$9:$E$108,2,FALSE)," ")</f>
        <v xml:space="preserve"> </v>
      </c>
      <c r="C92" s="112" t="str">
        <f>IFERROR(VLOOKUP(C91,Itinerary!$B$9:$E$108,2,FALSE)," ")</f>
        <v xml:space="preserve"> </v>
      </c>
      <c r="D92" s="112" t="str">
        <f>IFERROR(VLOOKUP(D91,Itinerary!$B$9:$E$108,2,FALSE)," ")</f>
        <v xml:space="preserve"> </v>
      </c>
      <c r="E92" s="112" t="str">
        <f>IFERROR(VLOOKUP(E91,Itinerary!$B$9:$E$108,2,FALSE)," ")</f>
        <v xml:space="preserve"> </v>
      </c>
      <c r="F92" s="112" t="str">
        <f>IFERROR(VLOOKUP(F91,Itinerary!$B$9:$E$108,2,FALSE)," ")</f>
        <v xml:space="preserve"> </v>
      </c>
      <c r="G92" s="112" t="str">
        <f>IFERROR(VLOOKUP(G91,Itinerary!$B$9:$E$108,2,FALSE)," ")</f>
        <v xml:space="preserve"> </v>
      </c>
      <c r="H92" s="112" t="str">
        <f>IFERROR(VLOOKUP(H91,Itinerary!$B$9:$E$108,2,FALSE)," ")</f>
        <v xml:space="preserve"> </v>
      </c>
    </row>
    <row r="93" spans="2:8" s="125" customFormat="1">
      <c r="B93" s="126" t="str">
        <f>IFERROR(VLOOKUP(B91,Itinerary!$B$9:$E$108,3,FALSE)," ")</f>
        <v xml:space="preserve"> </v>
      </c>
      <c r="C93" s="126" t="str">
        <f>IFERROR(VLOOKUP(C91,Itinerary!$B$9:$E$108,3,FALSE)," ")</f>
        <v xml:space="preserve"> </v>
      </c>
      <c r="D93" s="126" t="str">
        <f>IFERROR(VLOOKUP(D91,Itinerary!$B$9:$E$108,3,FALSE)," ")</f>
        <v xml:space="preserve"> </v>
      </c>
      <c r="E93" s="126" t="str">
        <f>IFERROR(VLOOKUP(E91,Itinerary!$B$9:$E$108,3,FALSE)," ")</f>
        <v xml:space="preserve"> </v>
      </c>
      <c r="F93" s="126" t="str">
        <f>IFERROR(VLOOKUP(F91,Itinerary!$B$9:$E$108,3,FALSE)," ")</f>
        <v xml:space="preserve"> </v>
      </c>
      <c r="G93" s="126" t="str">
        <f>IFERROR(VLOOKUP(G91,Itinerary!$B$9:$E$108,3,FALSE)," ")</f>
        <v xml:space="preserve"> </v>
      </c>
      <c r="H93" s="126" t="str">
        <f>IFERROR(VLOOKUP(H91,Itinerary!$B$9:$E$108,3,FALSE)," ")</f>
        <v xml:space="preserve"> </v>
      </c>
    </row>
    <row r="94" spans="2:8" s="143" customFormat="1">
      <c r="B94" s="148" t="str">
        <f>IFERROR(IF(VLOOKUP(B91,Itinerary!$B$9:$E$108,4,FALSE)="Yes","TRAVEL DAY"," ")," ")</f>
        <v xml:space="preserve"> </v>
      </c>
      <c r="C94" s="148" t="str">
        <f>IFERROR(IF(VLOOKUP(C91,Itinerary!$B$9:$E$108,4,FALSE)="Yes","TRAVEL DAY"," ")," ")</f>
        <v xml:space="preserve"> </v>
      </c>
      <c r="D94" s="148" t="str">
        <f>IFERROR(IF(VLOOKUP(D91,Itinerary!$B$9:$E$108,4,FALSE)="Yes","TRAVEL DAY"," ")," ")</f>
        <v xml:space="preserve"> </v>
      </c>
      <c r="E94" s="148" t="str">
        <f>IFERROR(IF(VLOOKUP(E91,Itinerary!$B$9:$E$108,4,FALSE)="Yes","TRAVEL DAY"," ")," ")</f>
        <v xml:space="preserve"> </v>
      </c>
      <c r="F94" s="148" t="str">
        <f>IFERROR(IF(VLOOKUP(F91,Itinerary!$B$9:$E$108,4,FALSE)="Yes","TRAVEL DAY"," ")," ")</f>
        <v xml:space="preserve"> </v>
      </c>
      <c r="G94" s="148" t="str">
        <f>IFERROR(IF(VLOOKUP(G91,Itinerary!$B$9:$E$108,4,FALSE)="Yes","TRAVEL DAY"," ")," ")</f>
        <v xml:space="preserve"> </v>
      </c>
      <c r="H94" s="148" t="str">
        <f>IFERROR(IF(VLOOKUP(H91,Itinerary!$B$9:$E$108,4,FALSE)="Yes","TRAVEL DAY"," ")," ")</f>
        <v xml:space="preserve"> </v>
      </c>
    </row>
    <row r="95" spans="2:8" ht="58.35" customHeight="1" thickBot="1">
      <c r="B95" s="38"/>
      <c r="C95" s="244"/>
      <c r="D95" s="38"/>
      <c r="E95" s="244"/>
      <c r="F95" s="38"/>
      <c r="G95" s="244"/>
      <c r="H95" s="38"/>
    </row>
    <row r="96" spans="2:8">
      <c r="B96" s="37">
        <f>'Itinerary-CODE'!B20</f>
        <v>44766</v>
      </c>
      <c r="C96" s="37">
        <f>'Itinerary-CODE'!C20</f>
        <v>44767</v>
      </c>
      <c r="D96" s="37">
        <f>'Itinerary-CODE'!D20</f>
        <v>44768</v>
      </c>
      <c r="E96" s="37">
        <f>'Itinerary-CODE'!E20</f>
        <v>44769</v>
      </c>
      <c r="F96" s="37">
        <f>'Itinerary-CODE'!F20</f>
        <v>44770</v>
      </c>
      <c r="G96" s="37">
        <f>'Itinerary-CODE'!G20</f>
        <v>44771</v>
      </c>
      <c r="H96" s="37">
        <f>'Itinerary-CODE'!H20</f>
        <v>44772</v>
      </c>
    </row>
    <row r="97" spans="2:8">
      <c r="B97" s="113" t="str">
        <f>IFERROR(VLOOKUP(B96,Itinerary!$B$9:$E$108,2,FALSE)," ")</f>
        <v xml:space="preserve"> </v>
      </c>
      <c r="C97" s="113" t="str">
        <f>IFERROR(VLOOKUP(C96,Itinerary!$B$9:$E$108,2,FALSE)," ")</f>
        <v xml:space="preserve"> </v>
      </c>
      <c r="D97" s="113" t="str">
        <f>IFERROR(VLOOKUP(D96,Itinerary!$B$9:$E$108,2,FALSE)," ")</f>
        <v xml:space="preserve"> </v>
      </c>
      <c r="E97" s="113" t="str">
        <f>IFERROR(VLOOKUP(E96,Itinerary!$B$9:$E$108,2,FALSE)," ")</f>
        <v xml:space="preserve"> </v>
      </c>
      <c r="F97" s="113" t="str">
        <f>IFERROR(VLOOKUP(F96,Itinerary!$B$9:$E$108,2,FALSE)," ")</f>
        <v xml:space="preserve"> </v>
      </c>
      <c r="G97" s="113" t="str">
        <f>IFERROR(VLOOKUP(G96,Itinerary!$B$9:$E$108,2,FALSE)," ")</f>
        <v xml:space="preserve"> </v>
      </c>
      <c r="H97" s="113" t="str">
        <f>IFERROR(VLOOKUP(H96,Itinerary!$B$9:$E$108,2,FALSE)," ")</f>
        <v xml:space="preserve"> </v>
      </c>
    </row>
    <row r="98" spans="2:8" s="125" customFormat="1">
      <c r="B98" s="127" t="str">
        <f>IFERROR(VLOOKUP(B96,Itinerary!$B$9:$E$108,3,FALSE)," ")</f>
        <v xml:space="preserve"> </v>
      </c>
      <c r="C98" s="127" t="str">
        <f>IFERROR(VLOOKUP(C96,Itinerary!$B$9:$E$108,3,FALSE)," ")</f>
        <v xml:space="preserve"> </v>
      </c>
      <c r="D98" s="127" t="str">
        <f>IFERROR(VLOOKUP(D96,Itinerary!$B$9:$E$108,3,FALSE)," ")</f>
        <v xml:space="preserve"> </v>
      </c>
      <c r="E98" s="127" t="str">
        <f>IFERROR(VLOOKUP(E96,Itinerary!$B$9:$E$108,3,FALSE)," ")</f>
        <v xml:space="preserve"> </v>
      </c>
      <c r="F98" s="127" t="str">
        <f>IFERROR(VLOOKUP(F96,Itinerary!$B$9:$E$108,3,FALSE)," ")</f>
        <v xml:space="preserve"> </v>
      </c>
      <c r="G98" s="127" t="str">
        <f>IFERROR(VLOOKUP(G96,Itinerary!$B$9:$E$108,3,FALSE)," ")</f>
        <v xml:space="preserve"> </v>
      </c>
      <c r="H98" s="127" t="str">
        <f>IFERROR(VLOOKUP(H96,Itinerary!$B$9:$E$108,3,FALSE)," ")</f>
        <v xml:space="preserve"> </v>
      </c>
    </row>
    <row r="99" spans="2:8" s="143" customFormat="1">
      <c r="B99" s="144" t="str">
        <f>IFERROR(IF(VLOOKUP(B96,Itinerary!$B$9:$E$108,4,FALSE)="Yes","TRAVEL DAY"," ")," ")</f>
        <v xml:space="preserve"> </v>
      </c>
      <c r="C99" s="144" t="str">
        <f>IFERROR(IF(VLOOKUP(C96,Itinerary!$B$9:$E$108,4,FALSE)="Yes","TRAVEL DAY"," ")," ")</f>
        <v xml:space="preserve"> </v>
      </c>
      <c r="D99" s="144" t="str">
        <f>IFERROR(IF(VLOOKUP(D96,Itinerary!$B$9:$E$108,4,FALSE)="Yes","TRAVEL DAY"," ")," ")</f>
        <v xml:space="preserve"> </v>
      </c>
      <c r="E99" s="144" t="str">
        <f>IFERROR(IF(VLOOKUP(E96,Itinerary!$B$9:$E$108,4,FALSE)="Yes","TRAVEL DAY"," ")," ")</f>
        <v xml:space="preserve"> </v>
      </c>
      <c r="F99" s="144" t="str">
        <f>IFERROR(IF(VLOOKUP(F96,Itinerary!$B$9:$E$108,4,FALSE)="Yes","TRAVEL DAY"," ")," ")</f>
        <v xml:space="preserve"> </v>
      </c>
      <c r="G99" s="144" t="str">
        <f>IFERROR(IF(VLOOKUP(G96,Itinerary!$B$9:$E$108,4,FALSE)="Yes","TRAVEL DAY"," ")," ")</f>
        <v xml:space="preserve"> </v>
      </c>
      <c r="H99" s="144" t="str">
        <f>IFERROR(IF(VLOOKUP(H96,Itinerary!$B$9:$E$108,4,FALSE)="Yes","TRAVEL DAY"," ")," ")</f>
        <v xml:space="preserve"> </v>
      </c>
    </row>
    <row r="100" spans="2:8" ht="58.35" customHeight="1" thickBot="1">
      <c r="B100" s="104"/>
      <c r="C100" s="105"/>
      <c r="D100" s="104"/>
      <c r="E100" s="105"/>
      <c r="F100" s="104"/>
      <c r="G100" s="105"/>
      <c r="H100" s="104"/>
    </row>
    <row r="101" spans="2:8">
      <c r="B101" s="100">
        <f>'Itinerary-CODE'!B21</f>
        <v>44773</v>
      </c>
      <c r="C101" s="100"/>
      <c r="D101" s="100"/>
      <c r="E101" s="262"/>
      <c r="F101" s="263"/>
      <c r="G101" s="263"/>
      <c r="H101" s="264"/>
    </row>
    <row r="102" spans="2:8">
      <c r="B102" s="112" t="str">
        <f>IFERROR(VLOOKUP(B101,Itinerary!$B$9:$E$108,2,FALSE)," ")</f>
        <v xml:space="preserve"> </v>
      </c>
      <c r="C102" s="112" t="str">
        <f>IFERROR(VLOOKUP(C101,Itinerary!$B$9:$E$108,2,FALSE)," ")</f>
        <v xml:space="preserve"> </v>
      </c>
      <c r="D102" s="112" t="str">
        <f>IFERROR(VLOOKUP(D101,Itinerary!$B$9:$E$108,2,FALSE)," ")</f>
        <v xml:space="preserve"> </v>
      </c>
      <c r="E102" s="265"/>
      <c r="F102" s="266"/>
      <c r="G102" s="266"/>
      <c r="H102" s="267"/>
    </row>
    <row r="103" spans="2:8" s="125" customFormat="1">
      <c r="B103" s="126" t="str">
        <f>IFERROR(VLOOKUP(B101,Itinerary!$B$9:$E$108,3,FALSE)," ")</f>
        <v xml:space="preserve"> </v>
      </c>
      <c r="C103" s="126" t="str">
        <f>IFERROR(VLOOKUP(C101,Itinerary!$B$9:$E$108,3,FALSE)," ")</f>
        <v xml:space="preserve"> </v>
      </c>
      <c r="D103" s="126" t="str">
        <f>IFERROR(VLOOKUP(D101,Itinerary!$B$9:$E$108,3,FALSE)," ")</f>
        <v xml:space="preserve"> </v>
      </c>
      <c r="E103" s="265"/>
      <c r="F103" s="266"/>
      <c r="G103" s="266"/>
      <c r="H103" s="267"/>
    </row>
    <row r="104" spans="2:8" s="143" customFormat="1">
      <c r="B104" s="148" t="str">
        <f>IFERROR(IF(VLOOKUP(B101,Itinerary!$B$9:$E$108,4,FALSE)="Yes","TRAVEL DAY"," ")," ")</f>
        <v xml:space="preserve"> </v>
      </c>
      <c r="C104" s="148" t="str">
        <f>IFERROR(IF(VLOOKUP(C101,Itinerary!$B$9:$E$108,4,FALSE)="Yes","TRAVEL DAY"," ")," ")</f>
        <v xml:space="preserve"> </v>
      </c>
      <c r="D104" s="148" t="str">
        <f>IFERROR(IF(VLOOKUP(D101,Itinerary!$B$9:$E$108,4,FALSE)="Yes","TRAVEL DAY"," ")," ")</f>
        <v xml:space="preserve"> </v>
      </c>
      <c r="E104" s="265"/>
      <c r="F104" s="266"/>
      <c r="G104" s="266"/>
      <c r="H104" s="267"/>
    </row>
    <row r="105" spans="2:8" ht="58.35" customHeight="1" thickBot="1">
      <c r="B105" s="101"/>
      <c r="C105" s="102"/>
      <c r="D105" s="101"/>
      <c r="E105" s="268"/>
      <c r="F105" s="269"/>
      <c r="G105" s="269"/>
      <c r="H105" s="270"/>
    </row>
  </sheetData>
  <mergeCells count="5">
    <mergeCell ref="E101:H105"/>
    <mergeCell ref="B74:D74"/>
    <mergeCell ref="E37:H41"/>
    <mergeCell ref="B42:D42"/>
    <mergeCell ref="E69:H73"/>
  </mergeCells>
  <phoneticPr fontId="8" type="noConversion"/>
  <conditionalFormatting sqref="B32:H32 B37:C37 B39:C39">
    <cfRule type="expression" dxfId="23" priority="9">
      <formula>AND(DAY(B32)&gt;=1,DAY(B32)&lt;=15)</formula>
    </cfRule>
  </conditionalFormatting>
  <conditionalFormatting sqref="B12:H12">
    <cfRule type="expression" dxfId="22" priority="8">
      <formula>DAY(B12)&gt;8</formula>
    </cfRule>
  </conditionalFormatting>
  <conditionalFormatting sqref="B72:D72 B69:E69">
    <cfRule type="expression" dxfId="21" priority="7">
      <formula>AND(DAY(B69)&gt;=1,DAY(B69)&lt;=15)</formula>
    </cfRule>
  </conditionalFormatting>
  <conditionalFormatting sqref="B64:H64 G67:H67">
    <cfRule type="expression" dxfId="20" priority="6">
      <formula>AND(DAY(B64)&gt;=1,DAY(B64)&lt;=15)</formula>
    </cfRule>
  </conditionalFormatting>
  <conditionalFormatting sqref="B44:H44">
    <cfRule type="expression" dxfId="19" priority="5">
      <formula>DAY(B44)&gt;8</formula>
    </cfRule>
  </conditionalFormatting>
  <conditionalFormatting sqref="B101:E101">
    <cfRule type="expression" dxfId="18" priority="4">
      <formula>AND(DAY(B101)&gt;=1,DAY(B101)&lt;=15)</formula>
    </cfRule>
  </conditionalFormatting>
  <conditionalFormatting sqref="B96:H96">
    <cfRule type="expression" dxfId="17" priority="3">
      <formula>AND(DAY(B96)&gt;=1,DAY(B96)&lt;=15)</formula>
    </cfRule>
  </conditionalFormatting>
  <conditionalFormatting sqref="B76:H76">
    <cfRule type="expression" dxfId="16" priority="2">
      <formula>DAY(B76)&gt;8</formula>
    </cfRule>
  </conditionalFormatting>
  <conditionalFormatting sqref="B15:H15 B20:H20 B25:H25 B30:H30 B35:H35 B40:D40 B47:H47 B52:H52 B57:H57 B62:H62 B67:H67 B79:H79 B84:H84 B89:H89 B94:H94 B99:H99 B104:D104 B72:D72">
    <cfRule type="containsText" dxfId="15" priority="1" operator="containsText" text="TRAVEL DAY">
      <formula>NOT(ISERROR(SEARCH("TRAVEL DAY",B15)))</formula>
    </cfRule>
  </conditionalFormatting>
  <dataValidations count="1">
    <dataValidation type="list" allowBlank="1" showInputMessage="1" showErrorMessage="1" sqref="B8" xr:uid="{70AF079B-7D40-42DD-ACEC-49342D29B6DB}">
      <formula1>"Travel Plan,Day Plan/Activities,Today's Budget,Notes"</formula1>
    </dataValidation>
  </dataValidations>
  <printOptions horizontalCentered="1" verticalCentered="1"/>
  <pageMargins left="0.7" right="0.7" top="0.75" bottom="0.75" header="0.3" footer="0.3"/>
  <pageSetup scale="89" orientation="landscape" r:id="rId1"/>
  <headerFooter differentFirst="1" alignWithMargins="0">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20DBF-9924-47DC-AA48-59686AB403E4}">
  <sheetPr codeName="Sheet5">
    <tabColor theme="5"/>
  </sheetPr>
  <dimension ref="A1:W111"/>
  <sheetViews>
    <sheetView showGridLines="0" topLeftCell="A15" zoomScale="89" workbookViewId="0">
      <selection activeCell="F10" sqref="F10"/>
    </sheetView>
  </sheetViews>
  <sheetFormatPr defaultRowHeight="14.45"/>
  <cols>
    <col min="1" max="1" width="3.140625" customWidth="1"/>
    <col min="2" max="2" width="28" customWidth="1"/>
    <col min="3" max="3" width="24" customWidth="1"/>
    <col min="4" max="4" width="38.140625" customWidth="1"/>
    <col min="5" max="5" width="16.85546875" customWidth="1"/>
    <col min="6" max="6" width="30.5703125" customWidth="1"/>
    <col min="7" max="7" width="27.7109375" bestFit="1" customWidth="1"/>
    <col min="8" max="8" width="15.85546875" customWidth="1"/>
    <col min="9" max="9" width="19.140625" customWidth="1"/>
  </cols>
  <sheetData>
    <row r="1" spans="1:23">
      <c r="A1" s="60"/>
      <c r="B1" s="60"/>
      <c r="C1" s="60"/>
      <c r="D1" s="60"/>
      <c r="E1" s="60"/>
      <c r="F1" s="60"/>
      <c r="G1" s="60"/>
      <c r="H1" s="60"/>
      <c r="I1" s="60"/>
      <c r="J1" s="60"/>
      <c r="K1" s="60"/>
      <c r="L1" s="60"/>
      <c r="M1" s="60"/>
      <c r="N1" s="60"/>
      <c r="O1" s="60"/>
      <c r="P1" s="60"/>
      <c r="Q1" s="60"/>
      <c r="R1" s="60"/>
      <c r="S1" s="60"/>
      <c r="T1" s="60"/>
      <c r="U1" s="60"/>
      <c r="V1" s="60"/>
      <c r="W1" s="60"/>
    </row>
    <row r="2" spans="1:23" ht="21">
      <c r="A2" s="60"/>
      <c r="B2" s="280" t="s">
        <v>60</v>
      </c>
      <c r="C2" s="280"/>
      <c r="D2" s="280"/>
      <c r="E2" s="280"/>
      <c r="F2" s="280"/>
      <c r="G2" s="280"/>
      <c r="H2" s="280"/>
      <c r="I2" s="280"/>
      <c r="J2" s="280"/>
      <c r="K2" s="60"/>
      <c r="L2" s="60"/>
      <c r="M2" s="60"/>
      <c r="N2" s="60"/>
      <c r="O2" s="60"/>
      <c r="P2" s="60"/>
      <c r="Q2" s="60"/>
      <c r="R2" s="60"/>
      <c r="S2" s="60"/>
      <c r="T2" s="60"/>
      <c r="U2" s="60"/>
      <c r="V2" s="60"/>
      <c r="W2" s="60"/>
    </row>
    <row r="3" spans="1:23">
      <c r="A3" s="60"/>
      <c r="B3" s="279" t="s">
        <v>61</v>
      </c>
      <c r="C3" s="279"/>
      <c r="D3" s="279"/>
      <c r="E3" s="279"/>
      <c r="F3" s="279"/>
      <c r="G3" s="279"/>
      <c r="H3" s="279"/>
      <c r="I3" s="279"/>
      <c r="J3" s="279"/>
      <c r="K3" s="60"/>
      <c r="L3" s="60"/>
      <c r="M3" s="60"/>
      <c r="N3" s="60"/>
      <c r="O3" s="60"/>
      <c r="P3" s="60"/>
      <c r="Q3" s="60"/>
      <c r="R3" s="60"/>
      <c r="S3" s="60"/>
      <c r="T3" s="60"/>
      <c r="U3" s="60"/>
      <c r="V3" s="60"/>
      <c r="W3" s="60"/>
    </row>
    <row r="4" spans="1:23">
      <c r="A4" s="60"/>
      <c r="B4" s="60"/>
      <c r="C4" s="60"/>
      <c r="D4" s="60"/>
      <c r="E4" s="60"/>
      <c r="F4" s="60"/>
      <c r="G4" s="60"/>
      <c r="H4" s="60"/>
      <c r="I4" s="60"/>
      <c r="J4" s="60"/>
      <c r="K4" s="60"/>
      <c r="L4" s="60"/>
      <c r="M4" s="60"/>
      <c r="N4" s="60"/>
      <c r="O4" s="60"/>
      <c r="P4" s="60"/>
      <c r="Q4" s="60"/>
      <c r="R4" s="60"/>
      <c r="S4" s="60"/>
      <c r="T4" s="60"/>
      <c r="U4" s="60"/>
      <c r="V4" s="60"/>
      <c r="W4" s="60"/>
    </row>
    <row r="5" spans="1:23">
      <c r="A5" s="60"/>
      <c r="B5" s="60"/>
      <c r="C5" s="60"/>
      <c r="D5" s="60"/>
      <c r="E5" s="60"/>
      <c r="F5" s="60"/>
      <c r="G5" s="60"/>
      <c r="H5" s="60"/>
      <c r="I5" s="60"/>
      <c r="J5" s="60"/>
      <c r="K5" s="60"/>
      <c r="L5" s="60"/>
      <c r="M5" s="60"/>
      <c r="N5" s="60"/>
      <c r="O5" s="60"/>
      <c r="P5" s="60"/>
      <c r="Q5" s="60"/>
      <c r="R5" s="60"/>
      <c r="S5" s="60"/>
      <c r="T5" s="60"/>
      <c r="U5" s="60"/>
      <c r="V5" s="60"/>
      <c r="W5" s="60"/>
    </row>
    <row r="6" spans="1:23">
      <c r="A6" s="60"/>
      <c r="B6" s="60"/>
      <c r="C6" s="60"/>
      <c r="D6" s="60"/>
      <c r="E6" s="60"/>
      <c r="F6" s="60"/>
      <c r="G6" s="60"/>
      <c r="H6" s="60"/>
      <c r="I6" s="60"/>
      <c r="J6" s="60"/>
      <c r="K6" s="60"/>
      <c r="L6" s="60"/>
      <c r="M6" s="60"/>
      <c r="N6" s="60"/>
      <c r="O6" s="60"/>
      <c r="P6" s="60"/>
      <c r="Q6" s="60"/>
      <c r="R6" s="60"/>
      <c r="S6" s="60"/>
      <c r="T6" s="60"/>
      <c r="U6" s="60"/>
      <c r="V6" s="60"/>
      <c r="W6" s="60"/>
    </row>
    <row r="7" spans="1:23">
      <c r="A7" s="60"/>
      <c r="B7" s="60"/>
      <c r="C7" s="60"/>
      <c r="D7" s="60"/>
      <c r="E7" s="60"/>
      <c r="F7" s="60"/>
      <c r="G7" s="60"/>
      <c r="H7" s="60"/>
      <c r="I7" s="60"/>
      <c r="J7" s="60"/>
      <c r="K7" s="60"/>
      <c r="L7" s="60"/>
      <c r="M7" s="60"/>
      <c r="N7" s="60"/>
      <c r="O7" s="60"/>
      <c r="P7" s="60"/>
      <c r="Q7" s="60"/>
      <c r="R7" s="60"/>
      <c r="S7" s="60"/>
      <c r="T7" s="60"/>
      <c r="U7" s="60"/>
      <c r="V7" s="60"/>
      <c r="W7" s="60"/>
    </row>
    <row r="8" spans="1:23" ht="15" thickBot="1">
      <c r="A8" s="60"/>
      <c r="B8" s="138" t="s">
        <v>62</v>
      </c>
      <c r="C8" s="139" t="s">
        <v>18</v>
      </c>
      <c r="D8" s="140" t="s">
        <v>63</v>
      </c>
      <c r="E8" s="138" t="s">
        <v>64</v>
      </c>
      <c r="F8" s="139" t="s">
        <v>51</v>
      </c>
      <c r="G8" s="139" t="s">
        <v>65</v>
      </c>
      <c r="H8" s="137" t="s">
        <v>66</v>
      </c>
      <c r="I8" s="137" t="s">
        <v>67</v>
      </c>
      <c r="J8" s="60"/>
      <c r="K8" s="60"/>
      <c r="L8" s="60"/>
      <c r="M8" s="60"/>
      <c r="N8" s="60"/>
      <c r="O8" s="60"/>
      <c r="P8" s="60"/>
      <c r="Q8" s="60"/>
      <c r="R8" s="60"/>
      <c r="S8" s="60"/>
      <c r="T8" s="60"/>
      <c r="U8" s="60"/>
      <c r="V8" s="60"/>
      <c r="W8" s="60"/>
    </row>
    <row r="9" spans="1:23">
      <c r="A9" s="60"/>
      <c r="B9" s="141">
        <f>DreamStartDate</f>
        <v>44694</v>
      </c>
      <c r="C9" s="142" t="str">
        <f>VLOOKUP(B9,'Trip Dreaming'!$K$6:$M$30,3,TRUE)</f>
        <v>Zurich, Switzerland</v>
      </c>
      <c r="D9" s="116" t="str">
        <f>IF(VLOOKUP(B9,Accomodations!$B$7:$F$31,5,TRUE)=0," ",VLOOKUP(B9,Accomodations!$B$7:$F$31,5,TRUE))</f>
        <v>Zurich Youth Hostel</v>
      </c>
      <c r="E9" s="142" t="s">
        <v>68</v>
      </c>
      <c r="F9" s="197" t="s">
        <v>69</v>
      </c>
      <c r="G9" s="197"/>
      <c r="H9" s="198"/>
      <c r="I9" s="198"/>
      <c r="J9" s="60"/>
      <c r="K9" s="60"/>
      <c r="L9" s="60"/>
      <c r="M9" s="60"/>
      <c r="N9" s="60"/>
      <c r="O9" s="60"/>
      <c r="P9" s="60"/>
      <c r="Q9" s="60"/>
      <c r="R9" s="60"/>
      <c r="S9" s="60"/>
      <c r="T9" s="60"/>
      <c r="U9" s="60"/>
      <c r="V9" s="60"/>
      <c r="W9" s="60"/>
    </row>
    <row r="10" spans="1:23">
      <c r="A10" s="60"/>
      <c r="B10" s="141">
        <f>B9+1</f>
        <v>44695</v>
      </c>
      <c r="C10" s="142" t="str">
        <f>VLOOKUP(B10,'Trip Dreaming'!$K$6:$M$30,3,TRUE)</f>
        <v>Zurich, Switzerland</v>
      </c>
      <c r="D10" s="116" t="str">
        <f>IF(VLOOKUP(B10,Accomodations!$B$7:$F$31,5,TRUE)=0," ",VLOOKUP(B10,Accomodations!$B$7:$F$31,5,TRUE))</f>
        <v>Zurich Youth Hostel</v>
      </c>
      <c r="E10" s="142" t="str">
        <f>IF(Table2[[#This Row],[Location]]=C9," ", "Yes")</f>
        <v xml:space="preserve"> </v>
      </c>
      <c r="F10" s="197"/>
      <c r="G10" s="197" t="s">
        <v>70</v>
      </c>
      <c r="H10" s="197"/>
      <c r="I10" s="197"/>
      <c r="J10" s="60"/>
      <c r="K10" s="60"/>
      <c r="L10" s="60"/>
      <c r="M10" s="60"/>
      <c r="N10" s="60"/>
      <c r="O10" s="60"/>
      <c r="P10" s="60"/>
      <c r="Q10" s="60"/>
      <c r="R10" s="60"/>
      <c r="S10" s="60"/>
      <c r="T10" s="60"/>
      <c r="U10" s="60"/>
      <c r="V10" s="60"/>
      <c r="W10" s="60"/>
    </row>
    <row r="11" spans="1:23">
      <c r="A11" s="60"/>
      <c r="B11" s="141">
        <f t="shared" ref="B11:B74" si="0">B10+1</f>
        <v>44696</v>
      </c>
      <c r="C11" s="142" t="str">
        <f>VLOOKUP(B11,'Trip Dreaming'!$K$6:$M$30,3,TRUE)</f>
        <v>Zurich, Switzerland</v>
      </c>
      <c r="D11" s="116" t="str">
        <f>IF(VLOOKUP(B11,Accomodations!$B$7:$F$31,5,TRUE)=0," ",VLOOKUP(B11,Accomodations!$B$7:$F$31,5,TRUE))</f>
        <v>Zurich Youth Hostel</v>
      </c>
      <c r="E11" s="142" t="str">
        <f>IF(Table2[[#This Row],[Location]]=C10," ", "Yes")</f>
        <v xml:space="preserve"> </v>
      </c>
      <c r="F11" s="197"/>
      <c r="G11" s="197" t="s">
        <v>70</v>
      </c>
      <c r="H11" s="197"/>
      <c r="I11" s="197"/>
      <c r="J11" s="60"/>
      <c r="K11" s="60"/>
      <c r="L11" s="60"/>
      <c r="M11" s="60"/>
      <c r="N11" s="60"/>
      <c r="O11" s="60"/>
      <c r="P11" s="60"/>
      <c r="Q11" s="60"/>
      <c r="R11" s="60"/>
      <c r="S11" s="60"/>
      <c r="T11" s="60"/>
      <c r="U11" s="60"/>
      <c r="V11" s="60"/>
      <c r="W11" s="60"/>
    </row>
    <row r="12" spans="1:23">
      <c r="A12" s="60"/>
      <c r="B12" s="141">
        <f t="shared" si="0"/>
        <v>44697</v>
      </c>
      <c r="C12" s="142" t="str">
        <f>VLOOKUP(B12,'Trip Dreaming'!$K$6:$M$30,3,TRUE)</f>
        <v>Lucerne, Switzerland</v>
      </c>
      <c r="D12" s="116" t="str">
        <f>IF(VLOOKUP(B12,Accomodations!$B$7:$F$31,5,TRUE)=0," ",VLOOKUP(B12,Accomodations!$B$7:$F$31,5,TRUE))</f>
        <v>Barabas Luzern</v>
      </c>
      <c r="E12" s="142" t="str">
        <f>IF(Table2[[#This Row],[Location]]=C11," ", "Yes")</f>
        <v>Yes</v>
      </c>
      <c r="F12" s="197" t="s">
        <v>71</v>
      </c>
      <c r="G12" s="197"/>
      <c r="H12" s="197"/>
      <c r="I12" s="197"/>
      <c r="J12" s="60"/>
      <c r="K12" s="60"/>
      <c r="L12" s="60"/>
      <c r="M12" s="60"/>
      <c r="N12" s="60"/>
      <c r="O12" s="60"/>
      <c r="P12" s="60"/>
      <c r="Q12" s="60"/>
      <c r="R12" s="60"/>
      <c r="S12" s="60"/>
      <c r="T12" s="60"/>
      <c r="U12" s="60"/>
      <c r="V12" s="60"/>
      <c r="W12" s="60"/>
    </row>
    <row r="13" spans="1:23">
      <c r="A13" s="60"/>
      <c r="B13" s="141">
        <f t="shared" si="0"/>
        <v>44698</v>
      </c>
      <c r="C13" s="142" t="str">
        <f>VLOOKUP(B13,'Trip Dreaming'!$K$6:$M$30,3,TRUE)</f>
        <v>Lucerne, Switzerland</v>
      </c>
      <c r="D13" s="116" t="str">
        <f>IF(VLOOKUP(B13,Accomodations!$B$7:$F$31,5,TRUE)=0," ",VLOOKUP(B13,Accomodations!$B$7:$F$31,5,TRUE))</f>
        <v>Barabas Luzern</v>
      </c>
      <c r="E13" s="142" t="str">
        <f>IF(Table2[[#This Row],[Location]]=C12," ", "Yes")</f>
        <v xml:space="preserve"> </v>
      </c>
      <c r="F13" s="197"/>
      <c r="G13" s="197" t="s">
        <v>72</v>
      </c>
      <c r="H13" s="197"/>
      <c r="I13" s="197"/>
      <c r="J13" s="60"/>
      <c r="K13" s="60"/>
      <c r="L13" s="60"/>
      <c r="M13" s="60"/>
      <c r="N13" s="60"/>
      <c r="O13" s="60"/>
      <c r="P13" s="60"/>
      <c r="Q13" s="60"/>
      <c r="R13" s="60"/>
      <c r="S13" s="60"/>
      <c r="T13" s="60"/>
      <c r="U13" s="60"/>
      <c r="V13" s="60"/>
      <c r="W13" s="60"/>
    </row>
    <row r="14" spans="1:23">
      <c r="A14" s="60"/>
      <c r="B14" s="141">
        <f t="shared" si="0"/>
        <v>44699</v>
      </c>
      <c r="C14" s="142" t="str">
        <f>VLOOKUP(B14,'Trip Dreaming'!$K$6:$M$30,3,TRUE)</f>
        <v>Lucerne, Switzerland</v>
      </c>
      <c r="D14" s="116" t="str">
        <f>IF(VLOOKUP(B14,Accomodations!$B$7:$F$31,5,TRUE)=0," ",VLOOKUP(B14,Accomodations!$B$7:$F$31,5,TRUE))</f>
        <v>Barabas Luzern</v>
      </c>
      <c r="E14" s="142" t="str">
        <f>IF(Table2[[#This Row],[Location]]=C13," ", "Yes")</f>
        <v xml:space="preserve"> </v>
      </c>
      <c r="F14" s="197"/>
      <c r="G14" s="197"/>
      <c r="H14" s="197"/>
      <c r="I14" s="197"/>
      <c r="J14" s="60"/>
      <c r="K14" s="60"/>
      <c r="L14" s="60"/>
      <c r="M14" s="60"/>
      <c r="N14" s="60"/>
      <c r="O14" s="60"/>
      <c r="P14" s="60"/>
      <c r="Q14" s="60"/>
      <c r="R14" s="60"/>
      <c r="S14" s="60"/>
      <c r="T14" s="60"/>
      <c r="U14" s="60"/>
      <c r="V14" s="60"/>
      <c r="W14" s="60"/>
    </row>
    <row r="15" spans="1:23">
      <c r="A15" s="60"/>
      <c r="B15" s="141">
        <f t="shared" si="0"/>
        <v>44700</v>
      </c>
      <c r="C15" s="142" t="str">
        <f>VLOOKUP(B15,'Trip Dreaming'!$K$6:$M$30,3,TRUE)</f>
        <v>Salzburg, Austria</v>
      </c>
      <c r="D15" s="116" t="str">
        <f>IF(VLOOKUP(B15,Accomodations!$B$7:$F$31,5,TRUE)=0," ",VLOOKUP(B15,Accomodations!$B$7:$F$31,5,TRUE))</f>
        <v>Chalet Hostel @ Backpackers Villa</v>
      </c>
      <c r="E15" s="142" t="str">
        <f>IF(Table2[[#This Row],[Location]]=C14," ", "Yes")</f>
        <v>Yes</v>
      </c>
      <c r="F15" s="197" t="s">
        <v>71</v>
      </c>
      <c r="G15" s="197" t="s">
        <v>73</v>
      </c>
      <c r="H15" s="197"/>
      <c r="I15" s="197"/>
      <c r="J15" s="60"/>
      <c r="K15" s="60"/>
      <c r="L15" s="60"/>
      <c r="M15" s="60"/>
      <c r="N15" s="60"/>
      <c r="O15" s="60"/>
      <c r="P15" s="60"/>
      <c r="Q15" s="60"/>
      <c r="R15" s="60"/>
      <c r="S15" s="60"/>
      <c r="T15" s="60"/>
      <c r="U15" s="60"/>
      <c r="V15" s="60"/>
      <c r="W15" s="60"/>
    </row>
    <row r="16" spans="1:23">
      <c r="A16" s="60"/>
      <c r="B16" s="141">
        <f t="shared" si="0"/>
        <v>44701</v>
      </c>
      <c r="C16" s="142" t="str">
        <f>VLOOKUP(B16,'Trip Dreaming'!$K$6:$M$30,3,TRUE)</f>
        <v>Salzburg, Austria</v>
      </c>
      <c r="D16" s="116" t="str">
        <f>IF(VLOOKUP(B16,Accomodations!$B$7:$F$31,5,TRUE)=0," ",VLOOKUP(B16,Accomodations!$B$7:$F$31,5,TRUE))</f>
        <v>Chalet Hostel @ Backpackers Villa</v>
      </c>
      <c r="E16" s="142" t="str">
        <f>IF(Table2[[#This Row],[Location]]=C15," ", "Yes")</f>
        <v xml:space="preserve"> </v>
      </c>
      <c r="F16" s="197"/>
      <c r="G16" s="197" t="s">
        <v>74</v>
      </c>
      <c r="H16" s="197"/>
      <c r="I16" s="197"/>
      <c r="J16" s="60"/>
      <c r="K16" s="60"/>
      <c r="L16" s="60"/>
      <c r="M16" s="60"/>
      <c r="N16" s="60"/>
      <c r="O16" s="60"/>
      <c r="P16" s="60"/>
      <c r="Q16" s="60"/>
      <c r="R16" s="60"/>
      <c r="S16" s="60"/>
      <c r="T16" s="60"/>
      <c r="U16" s="60"/>
      <c r="V16" s="60"/>
      <c r="W16" s="60"/>
    </row>
    <row r="17" spans="1:23">
      <c r="A17" s="60"/>
      <c r="B17" s="141">
        <f t="shared" si="0"/>
        <v>44702</v>
      </c>
      <c r="C17" s="142" t="str">
        <f>VLOOKUP(B17,'Trip Dreaming'!$K$6:$M$30,3,TRUE)</f>
        <v>Salzburg, Austria</v>
      </c>
      <c r="D17" s="116" t="str">
        <f>IF(VLOOKUP(B17,Accomodations!$B$7:$F$31,5,TRUE)=0," ",VLOOKUP(B17,Accomodations!$B$7:$F$31,5,TRUE))</f>
        <v>Chalet Hostel @ Backpackers Villa</v>
      </c>
      <c r="E17" s="142" t="str">
        <f>IF(Table2[[#This Row],[Location]]=C16," ", "Yes")</f>
        <v xml:space="preserve"> </v>
      </c>
      <c r="F17" s="197"/>
      <c r="G17" s="197" t="s">
        <v>75</v>
      </c>
      <c r="H17" s="197"/>
      <c r="I17" s="197"/>
      <c r="J17" s="60"/>
      <c r="K17" s="60"/>
      <c r="L17" s="60"/>
      <c r="M17" s="60"/>
      <c r="N17" s="60"/>
      <c r="O17" s="60"/>
      <c r="P17" s="60"/>
      <c r="Q17" s="60"/>
      <c r="R17" s="60"/>
      <c r="S17" s="60"/>
      <c r="T17" s="60"/>
      <c r="U17" s="60"/>
      <c r="V17" s="60"/>
      <c r="W17" s="60"/>
    </row>
    <row r="18" spans="1:23">
      <c r="A18" s="60"/>
      <c r="B18" s="141">
        <f t="shared" si="0"/>
        <v>44703</v>
      </c>
      <c r="C18" s="142" t="str">
        <f>VLOOKUP(B18,'Trip Dreaming'!$K$6:$M$30,3,TRUE)</f>
        <v>Salzburg, Austria</v>
      </c>
      <c r="D18" s="116" t="str">
        <f>IF(VLOOKUP(B18,Accomodations!$B$7:$F$31,5,TRUE)=0," ",VLOOKUP(B18,Accomodations!$B$7:$F$31,5,TRUE))</f>
        <v>Chalet Hostel @ Backpackers Villa</v>
      </c>
      <c r="E18" s="142" t="str">
        <f>IF(Table2[[#This Row],[Location]]=C17," ", "Yes")</f>
        <v xml:space="preserve"> </v>
      </c>
      <c r="F18" s="197"/>
      <c r="G18" s="197" t="s">
        <v>76</v>
      </c>
      <c r="H18" s="197"/>
      <c r="I18" s="197"/>
      <c r="J18" s="60"/>
      <c r="K18" s="60"/>
      <c r="L18" s="60"/>
      <c r="M18" s="60"/>
      <c r="N18" s="60"/>
      <c r="O18" s="60"/>
      <c r="P18" s="60"/>
      <c r="Q18" s="60"/>
      <c r="R18" s="60"/>
      <c r="S18" s="60"/>
      <c r="T18" s="60"/>
      <c r="U18" s="60"/>
      <c r="V18" s="60"/>
      <c r="W18" s="60"/>
    </row>
    <row r="19" spans="1:23">
      <c r="A19" s="60"/>
      <c r="B19" s="141">
        <f t="shared" si="0"/>
        <v>44704</v>
      </c>
      <c r="C19" s="142" t="str">
        <f>VLOOKUP(B19,'Trip Dreaming'!$K$6:$M$30,3,TRUE)</f>
        <v>Interlaken, Switzerland</v>
      </c>
      <c r="D19" s="116" t="str">
        <f>IF(VLOOKUP(B19,Accomodations!$B$7:$F$31,5,TRUE)=0," ",VLOOKUP(B19,Accomodations!$B$7:$F$31,5,TRUE))</f>
        <v>YoHo - Internationall Youth Hostel</v>
      </c>
      <c r="E19" s="142" t="str">
        <f>IF(Table2[[#This Row],[Location]]=C18," ", "Yes")</f>
        <v>Yes</v>
      </c>
      <c r="F19" s="197"/>
      <c r="G19" s="197" t="s">
        <v>77</v>
      </c>
      <c r="H19" s="197"/>
      <c r="I19" s="197"/>
      <c r="J19" s="60"/>
      <c r="K19" s="60"/>
      <c r="L19" s="60"/>
      <c r="M19" s="60"/>
      <c r="N19" s="60"/>
      <c r="O19" s="60"/>
      <c r="P19" s="60"/>
      <c r="Q19" s="60"/>
      <c r="R19" s="60"/>
      <c r="S19" s="60"/>
      <c r="T19" s="60"/>
      <c r="U19" s="60"/>
      <c r="V19" s="60"/>
      <c r="W19" s="60"/>
    </row>
    <row r="20" spans="1:23">
      <c r="A20" s="60"/>
      <c r="B20" s="141">
        <f t="shared" si="0"/>
        <v>44705</v>
      </c>
      <c r="C20" s="142" t="str">
        <f>VLOOKUP(B20,'Trip Dreaming'!$K$6:$M$30,3,TRUE)</f>
        <v>Interlaken, Switzerland</v>
      </c>
      <c r="D20" s="116" t="str">
        <f>IF(VLOOKUP(B20,Accomodations!$B$7:$F$31,5,TRUE)=0," ",VLOOKUP(B20,Accomodations!$B$7:$F$31,5,TRUE))</f>
        <v>YoHo - Internationall Youth Hostel</v>
      </c>
      <c r="E20" s="142" t="str">
        <f>IF(Table2[[#This Row],[Location]]=C19," ", "Yes")</f>
        <v xml:space="preserve"> </v>
      </c>
      <c r="F20" s="197"/>
      <c r="G20" s="197" t="s">
        <v>78</v>
      </c>
      <c r="H20" s="197"/>
      <c r="I20" s="197"/>
      <c r="J20" s="60"/>
      <c r="K20" s="60"/>
      <c r="L20" s="60"/>
      <c r="M20" s="60"/>
      <c r="N20" s="60"/>
      <c r="O20" s="60"/>
      <c r="P20" s="60"/>
      <c r="Q20" s="60"/>
      <c r="R20" s="60"/>
      <c r="S20" s="60"/>
      <c r="T20" s="60"/>
      <c r="U20" s="60"/>
      <c r="V20" s="60"/>
      <c r="W20" s="60"/>
    </row>
    <row r="21" spans="1:23">
      <c r="A21" s="60"/>
      <c r="B21" s="141">
        <f t="shared" si="0"/>
        <v>44706</v>
      </c>
      <c r="C21" s="142" t="str">
        <f>VLOOKUP(B21,'Trip Dreaming'!$K$6:$M$30,3,TRUE)</f>
        <v>Interlaken, Switzerland</v>
      </c>
      <c r="D21" s="116" t="str">
        <f>IF(VLOOKUP(B21,Accomodations!$B$7:$F$31,5,TRUE)=0," ",VLOOKUP(B21,Accomodations!$B$7:$F$31,5,TRUE))</f>
        <v>YoHo - Internationall Youth Hostel</v>
      </c>
      <c r="E21" s="142" t="str">
        <f>IF(Table2[[#This Row],[Location]]=C20," ", "Yes")</f>
        <v xml:space="preserve"> </v>
      </c>
      <c r="F21" s="197"/>
      <c r="G21" s="197" t="s">
        <v>79</v>
      </c>
      <c r="H21" s="197"/>
      <c r="I21" s="197"/>
      <c r="J21" s="60"/>
      <c r="K21" s="60"/>
      <c r="L21" s="60"/>
      <c r="M21" s="60"/>
      <c r="N21" s="60"/>
      <c r="O21" s="60"/>
      <c r="P21" s="60"/>
      <c r="Q21" s="60"/>
      <c r="R21" s="60"/>
      <c r="S21" s="60"/>
      <c r="T21" s="60"/>
      <c r="U21" s="60"/>
      <c r="V21" s="60"/>
      <c r="W21" s="60"/>
    </row>
    <row r="22" spans="1:23">
      <c r="A22" s="60"/>
      <c r="B22" s="141">
        <f t="shared" si="0"/>
        <v>44707</v>
      </c>
      <c r="C22" s="142" t="str">
        <f>VLOOKUP(B22,'Trip Dreaming'!$K$6:$M$30,3,TRUE)</f>
        <v>Interlaken, Switzerland</v>
      </c>
      <c r="D22" s="116" t="str">
        <f>IF(VLOOKUP(B22,Accomodations!$B$7:$F$31,5,TRUE)=0," ",VLOOKUP(B22,Accomodations!$B$7:$F$31,5,TRUE))</f>
        <v>YoHo - Internationall Youth Hostel</v>
      </c>
      <c r="E22" s="142" t="str">
        <f>IF(Table2[[#This Row],[Location]]=C21," ", "Yes")</f>
        <v xml:space="preserve"> </v>
      </c>
      <c r="F22" s="197" t="s">
        <v>71</v>
      </c>
      <c r="G22" s="197"/>
      <c r="H22" s="197"/>
      <c r="I22" s="197"/>
      <c r="J22" s="60"/>
      <c r="K22" s="60"/>
      <c r="L22" s="60"/>
      <c r="M22" s="60"/>
      <c r="N22" s="60"/>
      <c r="O22" s="60"/>
      <c r="P22" s="60"/>
      <c r="Q22" s="60"/>
      <c r="R22" s="60"/>
      <c r="S22" s="60"/>
      <c r="T22" s="60"/>
      <c r="U22" s="60"/>
      <c r="V22" s="60"/>
      <c r="W22" s="60"/>
    </row>
    <row r="23" spans="1:23">
      <c r="A23" s="60"/>
      <c r="B23" s="141">
        <f t="shared" si="0"/>
        <v>44708</v>
      </c>
      <c r="C23" s="142" t="str">
        <f>VLOOKUP(B23,'Trip Dreaming'!$K$6:$M$30,3,TRUE)</f>
        <v>Interlaken, Switzerland</v>
      </c>
      <c r="D23" s="116" t="str">
        <f>IF(VLOOKUP(B23,Accomodations!$B$7:$F$31,5,TRUE)=0," ",VLOOKUP(B23,Accomodations!$B$7:$F$31,5,TRUE))</f>
        <v>YoHo - Internationall Youth Hostel</v>
      </c>
      <c r="E23" s="142" t="str">
        <f>IF(Table2[[#This Row],[Location]]=C22," ", "Yes")</f>
        <v xml:space="preserve"> </v>
      </c>
      <c r="F23" s="197"/>
      <c r="G23" s="197" t="s">
        <v>80</v>
      </c>
      <c r="H23" s="197"/>
      <c r="I23" s="197"/>
      <c r="J23" s="60"/>
      <c r="K23" s="60"/>
      <c r="L23" s="60"/>
      <c r="M23" s="60"/>
      <c r="N23" s="60"/>
      <c r="O23" s="60"/>
      <c r="P23" s="60"/>
      <c r="Q23" s="60"/>
      <c r="R23" s="60"/>
      <c r="S23" s="60"/>
      <c r="T23" s="60"/>
      <c r="U23" s="60"/>
      <c r="V23" s="60"/>
      <c r="W23" s="60"/>
    </row>
    <row r="24" spans="1:23">
      <c r="A24" s="60"/>
      <c r="B24" s="141">
        <f t="shared" si="0"/>
        <v>44709</v>
      </c>
      <c r="C24" s="142" t="str">
        <f>VLOOKUP(B24,'Trip Dreaming'!$K$6:$M$30,3,TRUE)</f>
        <v>Interlaken, Switzerland</v>
      </c>
      <c r="D24" s="116" t="str">
        <f>IF(VLOOKUP(B24,Accomodations!$B$7:$F$31,5,TRUE)=0," ",VLOOKUP(B24,Accomodations!$B$7:$F$31,5,TRUE))</f>
        <v>YoHo - Internationall Youth Hostel</v>
      </c>
      <c r="E24" s="142" t="str">
        <f>IF(Table2[[#This Row],[Location]]=C23," ", "Yes")</f>
        <v xml:space="preserve"> </v>
      </c>
      <c r="F24" s="197"/>
      <c r="G24" s="197" t="s">
        <v>81</v>
      </c>
      <c r="H24" s="197"/>
      <c r="I24" s="197"/>
      <c r="J24" s="60"/>
      <c r="K24" s="60"/>
      <c r="L24" s="60"/>
      <c r="M24" s="60"/>
      <c r="N24" s="60"/>
      <c r="O24" s="60"/>
      <c r="P24" s="60"/>
      <c r="Q24" s="60"/>
      <c r="R24" s="60"/>
      <c r="S24" s="60"/>
      <c r="T24" s="60"/>
      <c r="U24" s="60"/>
      <c r="V24" s="60"/>
      <c r="W24" s="60"/>
    </row>
    <row r="25" spans="1:23">
      <c r="A25" s="60"/>
      <c r="B25" s="141">
        <f t="shared" si="0"/>
        <v>44710</v>
      </c>
      <c r="C25" s="142" t="str">
        <f>VLOOKUP(B25,'Trip Dreaming'!$K$6:$M$30,3,TRUE)</f>
        <v>Interlaken, Switzerland</v>
      </c>
      <c r="D25" s="116" t="str">
        <f>IF(VLOOKUP(B25,Accomodations!$B$7:$F$31,5,TRUE)=0," ",VLOOKUP(B25,Accomodations!$B$7:$F$31,5,TRUE))</f>
        <v>YoHo - Internationall Youth Hostel</v>
      </c>
      <c r="E25" s="142" t="str">
        <f>IF(Table2[[#This Row],[Location]]=C24," ", "Yes")</f>
        <v xml:space="preserve"> </v>
      </c>
      <c r="F25" s="197"/>
      <c r="G25" s="197" t="s">
        <v>82</v>
      </c>
      <c r="H25" s="197"/>
      <c r="I25" s="197"/>
      <c r="J25" s="60"/>
      <c r="K25" s="60"/>
      <c r="L25" s="60"/>
      <c r="M25" s="60"/>
      <c r="N25" s="60"/>
      <c r="O25" s="60"/>
      <c r="P25" s="60"/>
      <c r="Q25" s="60"/>
      <c r="R25" s="60"/>
      <c r="S25" s="60"/>
      <c r="T25" s="60"/>
      <c r="U25" s="60"/>
      <c r="V25" s="60"/>
      <c r="W25" s="60"/>
    </row>
    <row r="26" spans="1:23">
      <c r="A26" s="60"/>
      <c r="B26" s="141">
        <f t="shared" si="0"/>
        <v>44711</v>
      </c>
      <c r="C26" s="142" t="str">
        <f>VLOOKUP(B26,'Trip Dreaming'!$K$6:$M$30,3,TRUE)</f>
        <v>Halstatt, Austria</v>
      </c>
      <c r="D26" s="116" t="str">
        <f>IF(VLOOKUP(B26,Accomodations!$B$7:$F$31,5,TRUE)=0," ",VLOOKUP(B26,Accomodations!$B$7:$F$31,5,TRUE))</f>
        <v>Pension Leopoldine</v>
      </c>
      <c r="E26" s="142" t="str">
        <f>IF(Table2[[#This Row],[Location]]=C25," ", "Yes")</f>
        <v>Yes</v>
      </c>
      <c r="F26" s="197" t="s">
        <v>71</v>
      </c>
      <c r="G26" s="197" t="s">
        <v>83</v>
      </c>
      <c r="H26" s="197"/>
      <c r="I26" s="197"/>
      <c r="J26" s="60"/>
      <c r="K26" s="60"/>
      <c r="L26" s="60"/>
      <c r="M26" s="60"/>
      <c r="N26" s="60"/>
      <c r="O26" s="60"/>
      <c r="P26" s="60"/>
      <c r="Q26" s="60"/>
      <c r="R26" s="60"/>
      <c r="S26" s="60"/>
      <c r="T26" s="60"/>
      <c r="U26" s="60"/>
      <c r="V26" s="60"/>
      <c r="W26" s="60"/>
    </row>
    <row r="27" spans="1:23">
      <c r="A27" s="60"/>
      <c r="B27" s="141">
        <f t="shared" si="0"/>
        <v>44712</v>
      </c>
      <c r="C27" s="142" t="str">
        <f>VLOOKUP(B27,'Trip Dreaming'!$K$6:$M$30,3,TRUE)</f>
        <v>Munich, Germany</v>
      </c>
      <c r="D27" s="116" t="str">
        <f>IF(VLOOKUP(B27,Accomodations!$B$7:$F$31,5,TRUE)=0," ",VLOOKUP(B27,Accomodations!$B$7:$F$31,5,TRUE))</f>
        <v>Wombat's City Hostel Munich</v>
      </c>
      <c r="E27" s="142" t="str">
        <f>IF(Table2[[#This Row],[Location]]=C26," ", "Yes")</f>
        <v>Yes</v>
      </c>
      <c r="F27" s="197" t="s">
        <v>71</v>
      </c>
      <c r="G27" s="197" t="s">
        <v>84</v>
      </c>
      <c r="H27" s="197"/>
      <c r="I27" s="197"/>
      <c r="J27" s="60"/>
      <c r="K27" s="60"/>
      <c r="L27" s="60"/>
      <c r="M27" s="60"/>
      <c r="N27" s="60"/>
      <c r="O27" s="60"/>
      <c r="P27" s="60"/>
      <c r="Q27" s="60"/>
      <c r="R27" s="60"/>
      <c r="S27" s="60"/>
      <c r="T27" s="60"/>
      <c r="U27" s="60"/>
      <c r="V27" s="60"/>
      <c r="W27" s="60"/>
    </row>
    <row r="28" spans="1:23">
      <c r="A28" s="60"/>
      <c r="B28" s="141">
        <f t="shared" si="0"/>
        <v>44713</v>
      </c>
      <c r="C28" s="142" t="str">
        <f>VLOOKUP(B28,'Trip Dreaming'!$K$6:$M$30,3,TRUE)</f>
        <v>Munich, Germany</v>
      </c>
      <c r="D28" s="116" t="str">
        <f>IF(VLOOKUP(B28,Accomodations!$B$7:$F$31,5,TRUE)=0," ",VLOOKUP(B28,Accomodations!$B$7:$F$31,5,TRUE))</f>
        <v>Wombat's City Hostel Munich</v>
      </c>
      <c r="E28" s="142" t="str">
        <f>IF(Table2[[#This Row],[Location]]=C27," ", "Yes")</f>
        <v xml:space="preserve"> </v>
      </c>
      <c r="F28" s="197"/>
      <c r="G28" s="197" t="s">
        <v>84</v>
      </c>
      <c r="H28" s="197"/>
      <c r="I28" s="197"/>
      <c r="J28" s="60"/>
      <c r="K28" s="60"/>
      <c r="L28" s="60"/>
      <c r="M28" s="60"/>
      <c r="N28" s="60"/>
      <c r="O28" s="60"/>
      <c r="P28" s="60"/>
      <c r="Q28" s="60"/>
      <c r="R28" s="60"/>
      <c r="S28" s="60"/>
      <c r="T28" s="60"/>
      <c r="U28" s="60"/>
      <c r="V28" s="60"/>
      <c r="W28" s="60"/>
    </row>
    <row r="29" spans="1:23">
      <c r="A29" s="60"/>
      <c r="B29" s="141">
        <f t="shared" si="0"/>
        <v>44714</v>
      </c>
      <c r="C29" s="142" t="str">
        <f>VLOOKUP(B29,'Trip Dreaming'!$K$6:$M$30,3,TRUE)</f>
        <v>Munich, Germany</v>
      </c>
      <c r="D29" s="116" t="str">
        <f>IF(VLOOKUP(B29,Accomodations!$B$7:$F$31,5,TRUE)=0," ",VLOOKUP(B29,Accomodations!$B$7:$F$31,5,TRUE))</f>
        <v>Wombat's City Hostel Munich</v>
      </c>
      <c r="E29" s="142" t="str">
        <f>IF(Table2[[#This Row],[Location]]=C28," ", "Yes")</f>
        <v xml:space="preserve"> </v>
      </c>
      <c r="F29" s="197"/>
      <c r="G29" s="197" t="s">
        <v>84</v>
      </c>
      <c r="H29" s="197"/>
      <c r="I29" s="197"/>
      <c r="J29" s="60"/>
      <c r="K29" s="60"/>
      <c r="L29" s="60"/>
      <c r="M29" s="60"/>
      <c r="N29" s="60"/>
      <c r="O29" s="60"/>
      <c r="P29" s="60"/>
      <c r="Q29" s="60"/>
      <c r="R29" s="60"/>
      <c r="S29" s="60"/>
      <c r="T29" s="60"/>
      <c r="U29" s="60"/>
      <c r="V29" s="60"/>
      <c r="W29" s="60"/>
    </row>
    <row r="30" spans="1:23">
      <c r="A30" s="60"/>
      <c r="B30" s="141">
        <f t="shared" si="0"/>
        <v>44715</v>
      </c>
      <c r="C30" s="142" t="str">
        <f>VLOOKUP(B30,'Trip Dreaming'!$K$6:$M$30,3,TRUE)</f>
        <v>Berlin, Germany</v>
      </c>
      <c r="D30" s="116" t="str">
        <f>IF(VLOOKUP(B30,Accomodations!$B$7:$F$31,5,TRUE)=0," ",VLOOKUP(B30,Accomodations!$B$7:$F$31,5,TRUE))</f>
        <v>St. Christophers Inn Berlin</v>
      </c>
      <c r="E30" s="142" t="str">
        <f>IF(Table2[[#This Row],[Location]]=C29," ", "Yes")</f>
        <v>Yes</v>
      </c>
      <c r="F30" s="197" t="s">
        <v>71</v>
      </c>
      <c r="G30" s="197" t="s">
        <v>83</v>
      </c>
      <c r="H30" s="197"/>
      <c r="I30" s="197"/>
      <c r="J30" s="60"/>
      <c r="K30" s="60"/>
      <c r="L30" s="60"/>
      <c r="M30" s="60"/>
      <c r="N30" s="60"/>
      <c r="O30" s="60"/>
      <c r="P30" s="60"/>
      <c r="Q30" s="60"/>
      <c r="R30" s="60"/>
      <c r="S30" s="60"/>
      <c r="T30" s="60"/>
      <c r="U30" s="60"/>
      <c r="V30" s="60"/>
      <c r="W30" s="60"/>
    </row>
    <row r="31" spans="1:23">
      <c r="A31" s="60"/>
      <c r="B31" s="141">
        <f t="shared" si="0"/>
        <v>44716</v>
      </c>
      <c r="C31" s="142" t="str">
        <f>VLOOKUP(B31,'Trip Dreaming'!$K$6:$M$30,3,TRUE)</f>
        <v>Berlin, Germany</v>
      </c>
      <c r="D31" s="116" t="str">
        <f>IF(VLOOKUP(B31,Accomodations!$B$7:$F$31,5,TRUE)=0," ",VLOOKUP(B31,Accomodations!$B$7:$F$31,5,TRUE))</f>
        <v>St. Christophers Inn Berlin</v>
      </c>
      <c r="E31" s="142" t="str">
        <f>IF(Table2[[#This Row],[Location]]=C30," ", "Yes")</f>
        <v xml:space="preserve"> </v>
      </c>
      <c r="F31" s="197"/>
      <c r="G31" s="197" t="s">
        <v>85</v>
      </c>
      <c r="H31" s="197"/>
      <c r="I31" s="197"/>
      <c r="J31" s="60"/>
      <c r="K31" s="60"/>
      <c r="L31" s="60"/>
      <c r="M31" s="60"/>
      <c r="N31" s="60"/>
      <c r="O31" s="60"/>
      <c r="P31" s="60"/>
      <c r="Q31" s="60"/>
      <c r="R31" s="60"/>
      <c r="S31" s="60"/>
      <c r="T31" s="60"/>
      <c r="U31" s="60"/>
      <c r="V31" s="60"/>
      <c r="W31" s="60"/>
    </row>
    <row r="32" spans="1:23">
      <c r="A32" s="60"/>
      <c r="B32" s="141">
        <f t="shared" si="0"/>
        <v>44717</v>
      </c>
      <c r="C32" s="142" t="str">
        <f>VLOOKUP(B32,'Trip Dreaming'!$K$6:$M$30,3,TRUE)</f>
        <v>Berlin, Germany</v>
      </c>
      <c r="D32" s="116" t="str">
        <f>IF(VLOOKUP(B32,Accomodations!$B$7:$F$31,5,TRUE)=0," ",VLOOKUP(B32,Accomodations!$B$7:$F$31,5,TRUE))</f>
        <v>St. Christophers Inn Berlin</v>
      </c>
      <c r="E32" s="142" t="str">
        <f>IF(Table2[[#This Row],[Location]]=C31," ", "Yes")</f>
        <v xml:space="preserve"> </v>
      </c>
      <c r="F32" s="197"/>
      <c r="G32" s="197" t="s">
        <v>86</v>
      </c>
      <c r="H32" s="197"/>
      <c r="I32" s="197"/>
      <c r="J32" s="60"/>
      <c r="K32" s="60"/>
      <c r="L32" s="60"/>
      <c r="M32" s="60"/>
      <c r="N32" s="60"/>
      <c r="O32" s="60"/>
      <c r="P32" s="60"/>
      <c r="Q32" s="60"/>
      <c r="R32" s="60"/>
      <c r="S32" s="60"/>
      <c r="T32" s="60"/>
      <c r="U32" s="60"/>
      <c r="V32" s="60"/>
      <c r="W32" s="60"/>
    </row>
    <row r="33" spans="1:23">
      <c r="A33" s="60"/>
      <c r="B33" s="141">
        <f t="shared" si="0"/>
        <v>44718</v>
      </c>
      <c r="C33" s="142" t="str">
        <f>VLOOKUP(B33,'Trip Dreaming'!$K$6:$M$30,3,TRUE)</f>
        <v>Berlin, Germany</v>
      </c>
      <c r="D33" s="116" t="str">
        <f>IF(VLOOKUP(B33,Accomodations!$B$7:$F$31,5,TRUE)=0," ",VLOOKUP(B33,Accomodations!$B$7:$F$31,5,TRUE))</f>
        <v>St. Christophers Inn Berlin</v>
      </c>
      <c r="E33" s="142" t="str">
        <f>IF(Table2[[#This Row],[Location]]=C32," ", "Yes")</f>
        <v xml:space="preserve"> </v>
      </c>
      <c r="F33" s="197"/>
      <c r="G33" s="197" t="s">
        <v>86</v>
      </c>
      <c r="H33" s="197"/>
      <c r="I33" s="197"/>
      <c r="J33" s="60"/>
      <c r="K33" s="60"/>
      <c r="L33" s="60"/>
      <c r="M33" s="60"/>
      <c r="N33" s="60"/>
      <c r="O33" s="60"/>
      <c r="P33" s="60"/>
      <c r="Q33" s="60"/>
      <c r="R33" s="60"/>
      <c r="S33" s="60"/>
      <c r="T33" s="60"/>
      <c r="U33" s="60"/>
      <c r="V33" s="60"/>
      <c r="W33" s="60"/>
    </row>
    <row r="34" spans="1:23">
      <c r="A34" s="60"/>
      <c r="B34" s="141">
        <f t="shared" si="0"/>
        <v>44719</v>
      </c>
      <c r="C34" s="142" t="str">
        <f>VLOOKUP(B34,'Trip Dreaming'!$K$6:$M$30,3,TRUE)</f>
        <v>Berlin, Germany</v>
      </c>
      <c r="D34" s="116" t="str">
        <f>IF(VLOOKUP(B34,Accomodations!$B$7:$F$31,5,TRUE)=0," ",VLOOKUP(B34,Accomodations!$B$7:$F$31,5,TRUE))</f>
        <v>St. Christophers Inn Berlin</v>
      </c>
      <c r="E34" s="142" t="str">
        <f>IF(Table2[[#This Row],[Location]]=C33," ", "Yes")</f>
        <v xml:space="preserve"> </v>
      </c>
      <c r="F34" s="197"/>
      <c r="G34" s="197" t="s">
        <v>87</v>
      </c>
      <c r="H34" s="197"/>
      <c r="I34" s="197"/>
      <c r="J34" s="60"/>
      <c r="K34" s="60"/>
      <c r="L34" s="60"/>
      <c r="M34" s="60"/>
      <c r="N34" s="60"/>
      <c r="O34" s="60"/>
      <c r="P34" s="60"/>
      <c r="Q34" s="60"/>
      <c r="R34" s="60"/>
      <c r="S34" s="60"/>
      <c r="T34" s="60"/>
      <c r="U34" s="60"/>
      <c r="V34" s="60"/>
      <c r="W34" s="60"/>
    </row>
    <row r="35" spans="1:23">
      <c r="A35" s="60"/>
      <c r="B35" s="141">
        <f t="shared" si="0"/>
        <v>44720</v>
      </c>
      <c r="C35" s="142" t="str">
        <f>VLOOKUP(B35,'Trip Dreaming'!$K$6:$M$30,3,TRUE)</f>
        <v>Amsterdam, Netherlands</v>
      </c>
      <c r="D35" s="116" t="str">
        <f>IF(VLOOKUP(B35,Accomodations!$B$7:$F$31,5,TRUE)=0," ",VLOOKUP(B35,Accomodations!$B$7:$F$31,5,TRUE))</f>
        <v>Hans Brinker Hostel</v>
      </c>
      <c r="E35" s="142" t="str">
        <f>IF(Table2[[#This Row],[Location]]=C34," ", "Yes")</f>
        <v>Yes</v>
      </c>
      <c r="F35" s="197" t="s">
        <v>88</v>
      </c>
      <c r="G35" s="197" t="s">
        <v>83</v>
      </c>
      <c r="H35" s="197"/>
      <c r="I35" s="197"/>
      <c r="J35" s="60"/>
      <c r="K35" s="60"/>
      <c r="L35" s="60"/>
      <c r="M35" s="60"/>
      <c r="N35" s="60"/>
      <c r="O35" s="60"/>
      <c r="P35" s="60"/>
      <c r="Q35" s="60"/>
      <c r="R35" s="60"/>
      <c r="S35" s="60"/>
      <c r="T35" s="60"/>
      <c r="U35" s="60"/>
      <c r="V35" s="60"/>
      <c r="W35" s="60"/>
    </row>
    <row r="36" spans="1:23">
      <c r="A36" s="60"/>
      <c r="B36" s="141">
        <f t="shared" si="0"/>
        <v>44721</v>
      </c>
      <c r="C36" s="142" t="str">
        <f>VLOOKUP(B36,'Trip Dreaming'!$K$6:$M$30,3,TRUE)</f>
        <v>Amsterdam, Netherlands</v>
      </c>
      <c r="D36" s="116" t="str">
        <f>IF(VLOOKUP(B36,Accomodations!$B$7:$F$31,5,TRUE)=0," ",VLOOKUP(B36,Accomodations!$B$7:$F$31,5,TRUE))</f>
        <v>Hans Brinker Hostel</v>
      </c>
      <c r="E36" s="142" t="str">
        <f>IF(Table2[[#This Row],[Location]]=C35," ", "Yes")</f>
        <v xml:space="preserve"> </v>
      </c>
      <c r="F36" s="197"/>
      <c r="G36" s="197" t="s">
        <v>89</v>
      </c>
      <c r="H36" s="197"/>
      <c r="I36" s="197"/>
      <c r="J36" s="60"/>
      <c r="K36" s="60"/>
      <c r="L36" s="60"/>
      <c r="M36" s="60"/>
      <c r="N36" s="60"/>
      <c r="O36" s="60"/>
      <c r="P36" s="60"/>
      <c r="Q36" s="60"/>
      <c r="R36" s="60"/>
      <c r="S36" s="60"/>
      <c r="T36" s="60"/>
      <c r="U36" s="60"/>
      <c r="V36" s="60"/>
      <c r="W36" s="60"/>
    </row>
    <row r="37" spans="1:23">
      <c r="A37" s="60"/>
      <c r="B37" s="141">
        <f t="shared" si="0"/>
        <v>44722</v>
      </c>
      <c r="C37" s="142" t="str">
        <f>VLOOKUP(B37,'Trip Dreaming'!$K$6:$M$30,3,TRUE)</f>
        <v>Amsterdam, Netherlands</v>
      </c>
      <c r="D37" s="116" t="str">
        <f>IF(VLOOKUP(B37,Accomodations!$B$7:$F$31,5,TRUE)=0," ",VLOOKUP(B37,Accomodations!$B$7:$F$31,5,TRUE))</f>
        <v>Hans Brinker Hostel</v>
      </c>
      <c r="E37" s="142" t="str">
        <f>IF(Table2[[#This Row],[Location]]=C36," ", "Yes")</f>
        <v xml:space="preserve"> </v>
      </c>
      <c r="F37" s="197"/>
      <c r="G37" s="197" t="s">
        <v>90</v>
      </c>
      <c r="H37" s="197"/>
      <c r="I37" s="197"/>
      <c r="J37" s="60"/>
      <c r="K37" s="60"/>
      <c r="L37" s="60"/>
      <c r="M37" s="60"/>
      <c r="N37" s="60"/>
      <c r="O37" s="60"/>
      <c r="P37" s="60"/>
      <c r="Q37" s="60"/>
      <c r="R37" s="60"/>
      <c r="S37" s="60"/>
      <c r="T37" s="60"/>
      <c r="U37" s="60"/>
      <c r="V37" s="60"/>
      <c r="W37" s="60"/>
    </row>
    <row r="38" spans="1:23">
      <c r="A38" s="60"/>
      <c r="B38" s="141">
        <f t="shared" si="0"/>
        <v>44723</v>
      </c>
      <c r="C38" s="142" t="str">
        <f>VLOOKUP(B38,'Trip Dreaming'!$K$6:$M$30,3,TRUE)</f>
        <v>Amsterdam, Netherlands</v>
      </c>
      <c r="D38" s="116" t="str">
        <f>IF(VLOOKUP(B38,Accomodations!$B$7:$F$31,5,TRUE)=0," ",VLOOKUP(B38,Accomodations!$B$7:$F$31,5,TRUE))</f>
        <v>Hans Brinker Hostel</v>
      </c>
      <c r="E38" s="142" t="str">
        <f>IF(Table2[[#This Row],[Location]]=C37," ", "Yes")</f>
        <v xml:space="preserve"> </v>
      </c>
      <c r="F38" s="197"/>
      <c r="G38" s="197" t="s">
        <v>91</v>
      </c>
      <c r="H38" s="197"/>
      <c r="I38" s="197"/>
      <c r="J38" s="60"/>
      <c r="K38" s="60"/>
      <c r="L38" s="60"/>
      <c r="M38" s="60"/>
      <c r="N38" s="60"/>
      <c r="O38" s="60"/>
      <c r="P38" s="60"/>
      <c r="Q38" s="60"/>
      <c r="R38" s="60"/>
      <c r="S38" s="60"/>
      <c r="T38" s="60"/>
      <c r="U38" s="60"/>
      <c r="V38" s="60"/>
      <c r="W38" s="60"/>
    </row>
    <row r="39" spans="1:23">
      <c r="A39" s="60"/>
      <c r="B39" s="141">
        <f t="shared" si="0"/>
        <v>44724</v>
      </c>
      <c r="C39" s="142" t="str">
        <f>VLOOKUP(B39,'Trip Dreaming'!$K$6:$M$30,3,TRUE)</f>
        <v>Amsterdam, Netherlands</v>
      </c>
      <c r="D39" s="116" t="str">
        <f>IF(VLOOKUP(B39,Accomodations!$B$7:$F$31,5,TRUE)=0," ",VLOOKUP(B39,Accomodations!$B$7:$F$31,5,TRUE))</f>
        <v>Hans Brinker Hostel</v>
      </c>
      <c r="E39" s="142" t="str">
        <f>IF(Table2[[#This Row],[Location]]=C38," ", "Yes")</f>
        <v xml:space="preserve"> </v>
      </c>
      <c r="F39" s="197"/>
      <c r="G39" s="197" t="s">
        <v>89</v>
      </c>
      <c r="H39" s="197"/>
      <c r="I39" s="197"/>
      <c r="J39" s="60"/>
      <c r="K39" s="60"/>
      <c r="L39" s="60"/>
      <c r="M39" s="60"/>
      <c r="N39" s="60"/>
      <c r="O39" s="60"/>
      <c r="P39" s="60"/>
      <c r="Q39" s="60"/>
      <c r="R39" s="60"/>
      <c r="S39" s="60"/>
      <c r="T39" s="60"/>
      <c r="U39" s="60"/>
      <c r="V39" s="60"/>
      <c r="W39" s="60"/>
    </row>
    <row r="40" spans="1:23">
      <c r="A40" s="60"/>
      <c r="B40" s="141">
        <f t="shared" si="0"/>
        <v>44725</v>
      </c>
      <c r="C40" s="142" t="str">
        <f>VLOOKUP(B40,'Trip Dreaming'!$K$6:$M$30,3,TRUE)</f>
        <v>Copenhagen, Denmark</v>
      </c>
      <c r="D40" s="116" t="str">
        <f>IF(VLOOKUP(B40,Accomodations!$B$7:$F$31,5,TRUE)=0," ",VLOOKUP(B40,Accomodations!$B$7:$F$31,5,TRUE))</f>
        <v>Generator Copenhagen</v>
      </c>
      <c r="E40" s="142" t="str">
        <f>IF(Table2[[#This Row],[Location]]=C39," ", "Yes")</f>
        <v>Yes</v>
      </c>
      <c r="F40" s="197" t="s">
        <v>92</v>
      </c>
      <c r="G40" s="197" t="s">
        <v>83</v>
      </c>
      <c r="H40" s="197"/>
      <c r="I40" s="197"/>
      <c r="J40" s="60"/>
      <c r="K40" s="60"/>
      <c r="L40" s="60"/>
      <c r="M40" s="60"/>
      <c r="N40" s="60"/>
      <c r="O40" s="60"/>
      <c r="P40" s="60"/>
      <c r="Q40" s="60"/>
      <c r="R40" s="60"/>
      <c r="S40" s="60"/>
      <c r="T40" s="60"/>
      <c r="U40" s="60"/>
      <c r="V40" s="60"/>
      <c r="W40" s="60"/>
    </row>
    <row r="41" spans="1:23">
      <c r="A41" s="60"/>
      <c r="B41" s="141">
        <f t="shared" si="0"/>
        <v>44726</v>
      </c>
      <c r="C41" s="142" t="str">
        <f>VLOOKUP(B41,'Trip Dreaming'!$K$6:$M$30,3,TRUE)</f>
        <v>Copenhagen, Denmark</v>
      </c>
      <c r="D41" s="116" t="str">
        <f>IF(VLOOKUP(B41,Accomodations!$B$7:$F$31,5,TRUE)=0," ",VLOOKUP(B41,Accomodations!$B$7:$F$31,5,TRUE))</f>
        <v>Generator Copenhagen</v>
      </c>
      <c r="E41" s="142" t="str">
        <f>IF(Table2[[#This Row],[Location]]=C40," ", "Yes")</f>
        <v xml:space="preserve"> </v>
      </c>
      <c r="F41" s="197"/>
      <c r="G41" s="197" t="s">
        <v>85</v>
      </c>
      <c r="H41" s="197"/>
      <c r="I41" s="197"/>
      <c r="J41" s="60"/>
      <c r="K41" s="60"/>
      <c r="L41" s="60"/>
      <c r="M41" s="60"/>
      <c r="N41" s="60"/>
      <c r="O41" s="60"/>
      <c r="P41" s="60"/>
      <c r="Q41" s="60"/>
      <c r="R41" s="60"/>
      <c r="S41" s="60"/>
      <c r="T41" s="60"/>
      <c r="U41" s="60"/>
      <c r="V41" s="60"/>
      <c r="W41" s="60"/>
    </row>
    <row r="42" spans="1:23">
      <c r="A42" s="60"/>
      <c r="B42" s="141">
        <f t="shared" si="0"/>
        <v>44727</v>
      </c>
      <c r="C42" s="142" t="str">
        <f>VLOOKUP(B42,'Trip Dreaming'!$K$6:$M$30,3,TRUE)</f>
        <v>Copenhagen, Denmark</v>
      </c>
      <c r="D42" s="116" t="str">
        <f>IF(VLOOKUP(B42,Accomodations!$B$7:$F$31,5,TRUE)=0," ",VLOOKUP(B42,Accomodations!$B$7:$F$31,5,TRUE))</f>
        <v>Generator Copenhagen</v>
      </c>
      <c r="E42" s="142" t="str">
        <f>IF(Table2[[#This Row],[Location]]=C41," ", "Yes")</f>
        <v xml:space="preserve"> </v>
      </c>
      <c r="F42" s="197"/>
      <c r="G42" s="197" t="s">
        <v>93</v>
      </c>
      <c r="H42" s="197"/>
      <c r="I42" s="197"/>
      <c r="J42" s="60"/>
      <c r="K42" s="60"/>
      <c r="L42" s="60"/>
      <c r="M42" s="60"/>
      <c r="N42" s="60"/>
      <c r="O42" s="60"/>
      <c r="P42" s="60"/>
      <c r="Q42" s="60"/>
      <c r="R42" s="60"/>
      <c r="S42" s="60"/>
      <c r="T42" s="60"/>
      <c r="U42" s="60"/>
      <c r="V42" s="60"/>
      <c r="W42" s="60"/>
    </row>
    <row r="43" spans="1:23">
      <c r="A43" s="60"/>
      <c r="B43" s="141">
        <f t="shared" si="0"/>
        <v>44728</v>
      </c>
      <c r="C43" s="142" t="str">
        <f>VLOOKUP(B43,'Trip Dreaming'!$K$6:$M$30,3,TRUE)</f>
        <v>Copenhagen, Denmark</v>
      </c>
      <c r="D43" s="116" t="str">
        <f>IF(VLOOKUP(B43,Accomodations!$B$7:$F$31,5,TRUE)=0," ",VLOOKUP(B43,Accomodations!$B$7:$F$31,5,TRUE))</f>
        <v>Generator Copenhagen</v>
      </c>
      <c r="E43" s="142" t="str">
        <f>IF(Table2[[#This Row],[Location]]=C42," ", "Yes")</f>
        <v xml:space="preserve"> </v>
      </c>
      <c r="F43" s="197"/>
      <c r="G43" s="197" t="s">
        <v>94</v>
      </c>
      <c r="H43" s="197"/>
      <c r="I43" s="197"/>
      <c r="J43" s="60"/>
      <c r="K43" s="60"/>
      <c r="L43" s="60"/>
      <c r="M43" s="60"/>
      <c r="N43" s="60"/>
      <c r="O43" s="60"/>
      <c r="P43" s="60"/>
      <c r="Q43" s="60"/>
      <c r="R43" s="60"/>
      <c r="S43" s="60"/>
      <c r="T43" s="60"/>
      <c r="U43" s="60"/>
      <c r="V43" s="60"/>
      <c r="W43" s="60"/>
    </row>
    <row r="44" spans="1:23">
      <c r="A44" s="60"/>
      <c r="B44" s="141">
        <f t="shared" si="0"/>
        <v>44729</v>
      </c>
      <c r="C44" s="142" t="str">
        <f>VLOOKUP(B44,'Trip Dreaming'!$K$6:$M$30,3,TRUE)</f>
        <v>Dublin, Ireland</v>
      </c>
      <c r="D44" s="116" t="str">
        <f>IF(VLOOKUP(B44,Accomodations!$B$7:$F$31,5,TRUE)=0," ",VLOOKUP(B44,Accomodations!$B$7:$F$31,5,TRUE))</f>
        <v>Abbey Court Hostel</v>
      </c>
      <c r="E44" s="142" t="str">
        <f>IF(Table2[[#This Row],[Location]]=C43," ", "Yes")</f>
        <v>Yes</v>
      </c>
      <c r="F44" s="197" t="s">
        <v>95</v>
      </c>
      <c r="G44" s="197" t="s">
        <v>96</v>
      </c>
      <c r="H44" s="197"/>
      <c r="I44" s="197"/>
      <c r="J44" s="60"/>
      <c r="K44" s="60"/>
      <c r="L44" s="60"/>
      <c r="M44" s="60"/>
      <c r="N44" s="60"/>
      <c r="O44" s="60"/>
      <c r="P44" s="60"/>
      <c r="Q44" s="60"/>
      <c r="R44" s="60"/>
      <c r="S44" s="60"/>
      <c r="T44" s="60"/>
      <c r="U44" s="60"/>
      <c r="V44" s="60"/>
      <c r="W44" s="60"/>
    </row>
    <row r="45" spans="1:23">
      <c r="A45" s="60"/>
      <c r="B45" s="141">
        <f t="shared" si="0"/>
        <v>44730</v>
      </c>
      <c r="C45" s="142" t="str">
        <f>VLOOKUP(B45,'Trip Dreaming'!$K$6:$M$30,3,TRUE)</f>
        <v>Dublin, Ireland</v>
      </c>
      <c r="D45" s="116" t="str">
        <f>IF(VLOOKUP(B45,Accomodations!$B$7:$F$31,5,TRUE)=0," ",VLOOKUP(B45,Accomodations!$B$7:$F$31,5,TRUE))</f>
        <v>Abbey Court Hostel</v>
      </c>
      <c r="E45" s="142" t="str">
        <f>IF(Table2[[#This Row],[Location]]=C44," ", "Yes")</f>
        <v xml:space="preserve"> </v>
      </c>
      <c r="F45" s="197"/>
      <c r="G45" s="197" t="s">
        <v>97</v>
      </c>
      <c r="H45" s="197"/>
      <c r="I45" s="197"/>
      <c r="J45" s="60"/>
      <c r="K45" s="60"/>
      <c r="L45" s="60"/>
      <c r="M45" s="60"/>
      <c r="N45" s="60"/>
      <c r="O45" s="60"/>
      <c r="P45" s="60"/>
      <c r="Q45" s="60"/>
      <c r="R45" s="60"/>
      <c r="S45" s="60"/>
      <c r="T45" s="60"/>
      <c r="U45" s="60"/>
      <c r="V45" s="60"/>
      <c r="W45" s="60"/>
    </row>
    <row r="46" spans="1:23">
      <c r="A46" s="60"/>
      <c r="B46" s="141">
        <f t="shared" si="0"/>
        <v>44731</v>
      </c>
      <c r="C46" s="142" t="str">
        <f>VLOOKUP(B46,'Trip Dreaming'!$K$6:$M$30,3,TRUE)</f>
        <v>Dublin, Ireland</v>
      </c>
      <c r="D46" s="116" t="str">
        <f>IF(VLOOKUP(B46,Accomodations!$B$7:$F$31,5,TRUE)=0," ",VLOOKUP(B46,Accomodations!$B$7:$F$31,5,TRUE))</f>
        <v>Abbey Court Hostel</v>
      </c>
      <c r="E46" s="142" t="str">
        <f>IF(Table2[[#This Row],[Location]]=C45," ", "Yes")</f>
        <v xml:space="preserve"> </v>
      </c>
      <c r="F46" s="197"/>
      <c r="G46" s="197" t="s">
        <v>98</v>
      </c>
      <c r="H46" s="197"/>
      <c r="I46" s="197"/>
      <c r="J46" s="60"/>
      <c r="K46" s="60"/>
      <c r="L46" s="60"/>
      <c r="M46" s="60"/>
      <c r="N46" s="60"/>
      <c r="O46" s="60"/>
      <c r="P46" s="60"/>
      <c r="Q46" s="60"/>
      <c r="R46" s="60"/>
      <c r="S46" s="60"/>
      <c r="T46" s="60"/>
      <c r="U46" s="60"/>
      <c r="V46" s="60"/>
      <c r="W46" s="60"/>
    </row>
    <row r="47" spans="1:23">
      <c r="A47" s="60"/>
      <c r="B47" s="141">
        <f t="shared" si="0"/>
        <v>44732</v>
      </c>
      <c r="C47" s="142" t="str">
        <f>VLOOKUP(B47,'Trip Dreaming'!$K$6:$M$30,3,TRUE)</f>
        <v>Dublin, Ireland</v>
      </c>
      <c r="D47" s="116" t="str">
        <f>IF(VLOOKUP(B47,Accomodations!$B$7:$F$31,5,TRUE)=0," ",VLOOKUP(B47,Accomodations!$B$7:$F$31,5,TRUE))</f>
        <v>Abbey Court Hostel</v>
      </c>
      <c r="E47" s="142" t="str">
        <f>IF(Table2[[#This Row],[Location]]=C46," ", "Yes")</f>
        <v xml:space="preserve"> </v>
      </c>
      <c r="F47" s="197"/>
      <c r="G47" s="197" t="s">
        <v>99</v>
      </c>
      <c r="H47" s="197"/>
      <c r="I47" s="197"/>
      <c r="J47" s="60"/>
      <c r="K47" s="60"/>
      <c r="L47" s="60"/>
      <c r="M47" s="60"/>
      <c r="N47" s="60"/>
      <c r="O47" s="60"/>
      <c r="P47" s="60"/>
      <c r="Q47" s="60"/>
      <c r="R47" s="60"/>
      <c r="S47" s="60"/>
      <c r="T47" s="60"/>
      <c r="U47" s="60"/>
      <c r="V47" s="60"/>
      <c r="W47" s="60"/>
    </row>
    <row r="48" spans="1:23">
      <c r="A48" s="60"/>
      <c r="B48" s="141">
        <f t="shared" si="0"/>
        <v>44733</v>
      </c>
      <c r="C48" s="142" t="str">
        <f>VLOOKUP(B48,'Trip Dreaming'!$K$6:$M$30,3,TRUE)</f>
        <v>Dublin, Ireland</v>
      </c>
      <c r="D48" s="116" t="str">
        <f>IF(VLOOKUP(B48,Accomodations!$B$7:$F$31,5,TRUE)=0," ",VLOOKUP(B48,Accomodations!$B$7:$F$31,5,TRUE))</f>
        <v>Abbey Court Hostel</v>
      </c>
      <c r="E48" s="142" t="str">
        <f>IF(Table2[[#This Row],[Location]]=C47," ", "Yes")</f>
        <v xml:space="preserve"> </v>
      </c>
      <c r="F48" s="197"/>
      <c r="G48" s="197" t="s">
        <v>100</v>
      </c>
      <c r="H48" s="197"/>
      <c r="I48" s="197"/>
      <c r="J48" s="60"/>
      <c r="K48" s="60"/>
      <c r="L48" s="60"/>
      <c r="M48" s="60"/>
      <c r="N48" s="60"/>
      <c r="O48" s="60"/>
      <c r="P48" s="60"/>
      <c r="Q48" s="60"/>
      <c r="R48" s="60"/>
      <c r="S48" s="60"/>
      <c r="T48" s="60"/>
      <c r="U48" s="60"/>
      <c r="V48" s="60"/>
      <c r="W48" s="60"/>
    </row>
    <row r="49" spans="1:23">
      <c r="A49" s="60"/>
      <c r="B49" s="141">
        <f t="shared" si="0"/>
        <v>44734</v>
      </c>
      <c r="C49" s="142" t="str">
        <f>VLOOKUP(B49,'Trip Dreaming'!$K$6:$M$30,3,TRUE)</f>
        <v>Dublin, Ireland</v>
      </c>
      <c r="D49" s="116" t="str">
        <f>IF(VLOOKUP(B49,Accomodations!$B$7:$F$31,5,TRUE)=0," ",VLOOKUP(B49,Accomodations!$B$7:$F$31,5,TRUE))</f>
        <v>Abbey Court Hostel</v>
      </c>
      <c r="E49" s="142" t="str">
        <f>IF(Table2[[#This Row],[Location]]=C48," ", "Yes")</f>
        <v xml:space="preserve"> </v>
      </c>
      <c r="F49" s="197"/>
      <c r="G49" s="197" t="s">
        <v>101</v>
      </c>
      <c r="H49" s="197"/>
      <c r="I49" s="197"/>
      <c r="J49" s="60"/>
      <c r="K49" s="60"/>
      <c r="L49" s="60"/>
      <c r="M49" s="60"/>
      <c r="N49" s="60"/>
      <c r="O49" s="60"/>
      <c r="P49" s="60"/>
      <c r="Q49" s="60"/>
      <c r="R49" s="60"/>
      <c r="S49" s="60"/>
      <c r="T49" s="60"/>
      <c r="U49" s="60"/>
      <c r="V49" s="60"/>
      <c r="W49" s="60"/>
    </row>
    <row r="50" spans="1:23">
      <c r="A50" s="60"/>
      <c r="B50" s="141">
        <f t="shared" si="0"/>
        <v>44735</v>
      </c>
      <c r="C50" s="142" t="str">
        <f>VLOOKUP(B50,'Trip Dreaming'!$K$6:$M$30,3,TRUE)</f>
        <v>Edinburgh, Scotland</v>
      </c>
      <c r="D50" s="116" t="str">
        <f>IF(VLOOKUP(B50,Accomodations!$B$7:$F$31,5,TRUE)=0," ",VLOOKUP(B50,Accomodations!$B$7:$F$31,5,TRUE))</f>
        <v>Kick Ass Greyfriars</v>
      </c>
      <c r="E50" s="142" t="str">
        <f>IF(Table2[[#This Row],[Location]]=C49," ", "Yes")</f>
        <v>Yes</v>
      </c>
      <c r="F50" s="197" t="s">
        <v>102</v>
      </c>
      <c r="G50" s="197" t="s">
        <v>103</v>
      </c>
      <c r="H50" s="197"/>
      <c r="I50" s="197"/>
      <c r="J50" s="60"/>
      <c r="K50" s="60"/>
      <c r="L50" s="60"/>
      <c r="M50" s="60"/>
      <c r="N50" s="60"/>
      <c r="O50" s="60"/>
      <c r="P50" s="60"/>
      <c r="Q50" s="60"/>
      <c r="R50" s="60"/>
      <c r="S50" s="60"/>
      <c r="T50" s="60"/>
      <c r="U50" s="60"/>
      <c r="V50" s="60"/>
      <c r="W50" s="60"/>
    </row>
    <row r="51" spans="1:23">
      <c r="A51" s="60"/>
      <c r="B51" s="141">
        <f t="shared" si="0"/>
        <v>44736</v>
      </c>
      <c r="C51" s="142" t="str">
        <f>VLOOKUP(B51,'Trip Dreaming'!$K$6:$M$30,3,TRUE)</f>
        <v>Edinburgh, Scotland</v>
      </c>
      <c r="D51" s="116" t="str">
        <f>IF(VLOOKUP(B51,Accomodations!$B$7:$F$31,5,TRUE)=0," ",VLOOKUP(B51,Accomodations!$B$7:$F$31,5,TRUE))</f>
        <v>Kick Ass Greyfriars</v>
      </c>
      <c r="E51" s="142" t="str">
        <f>IF(Table2[[#This Row],[Location]]=C50," ", "Yes")</f>
        <v xml:space="preserve"> </v>
      </c>
      <c r="F51" s="197"/>
      <c r="G51" s="197" t="s">
        <v>104</v>
      </c>
      <c r="H51" s="197"/>
      <c r="I51" s="197"/>
      <c r="J51" s="60"/>
      <c r="K51" s="60"/>
      <c r="L51" s="60"/>
      <c r="M51" s="60"/>
      <c r="N51" s="60"/>
      <c r="O51" s="60"/>
      <c r="P51" s="60"/>
      <c r="Q51" s="60"/>
      <c r="R51" s="60"/>
      <c r="S51" s="60"/>
      <c r="T51" s="60"/>
      <c r="U51" s="60"/>
      <c r="V51" s="60"/>
      <c r="W51" s="60"/>
    </row>
    <row r="52" spans="1:23">
      <c r="A52" s="60"/>
      <c r="B52" s="141">
        <f t="shared" si="0"/>
        <v>44737</v>
      </c>
      <c r="C52" s="142" t="str">
        <f>VLOOKUP(B52,'Trip Dreaming'!$K$6:$M$30,3,TRUE)</f>
        <v>Edinburgh, Scotland</v>
      </c>
      <c r="D52" s="116" t="str">
        <f>IF(VLOOKUP(B52,Accomodations!$B$7:$F$31,5,TRUE)=0," ",VLOOKUP(B52,Accomodations!$B$7:$F$31,5,TRUE))</f>
        <v>Kick Ass Greyfriars</v>
      </c>
      <c r="E52" s="142" t="str">
        <f>IF(Table2[[#This Row],[Location]]=C51," ", "Yes")</f>
        <v xml:space="preserve"> </v>
      </c>
      <c r="F52" s="197"/>
      <c r="G52" s="197" t="s">
        <v>105</v>
      </c>
      <c r="H52" s="197"/>
      <c r="I52" s="197"/>
      <c r="J52" s="60"/>
      <c r="K52" s="60"/>
      <c r="L52" s="60"/>
      <c r="M52" s="60"/>
      <c r="N52" s="60"/>
      <c r="O52" s="60"/>
      <c r="P52" s="60"/>
      <c r="Q52" s="60"/>
      <c r="R52" s="60"/>
      <c r="S52" s="60"/>
      <c r="T52" s="60"/>
      <c r="U52" s="60"/>
      <c r="V52" s="60"/>
      <c r="W52" s="60"/>
    </row>
    <row r="53" spans="1:23">
      <c r="A53" s="60"/>
      <c r="B53" s="141">
        <f t="shared" si="0"/>
        <v>44738</v>
      </c>
      <c r="C53" s="142" t="str">
        <f>VLOOKUP(B53,'Trip Dreaming'!$K$6:$M$30,3,TRUE)</f>
        <v>Edinburgh, Scotland</v>
      </c>
      <c r="D53" s="116" t="str">
        <f>IF(VLOOKUP(B53,Accomodations!$B$7:$F$31,5,TRUE)=0," ",VLOOKUP(B53,Accomodations!$B$7:$F$31,5,TRUE))</f>
        <v>Kick Ass Greyfriars</v>
      </c>
      <c r="E53" s="142" t="str">
        <f>IF(Table2[[#This Row],[Location]]=C52," ", "Yes")</f>
        <v xml:space="preserve"> </v>
      </c>
      <c r="F53" s="197"/>
      <c r="G53" s="197" t="s">
        <v>106</v>
      </c>
      <c r="H53" s="197"/>
      <c r="I53" s="197"/>
      <c r="J53" s="60"/>
      <c r="K53" s="60"/>
      <c r="L53" s="60"/>
      <c r="M53" s="60"/>
      <c r="N53" s="60"/>
      <c r="O53" s="60"/>
      <c r="P53" s="60"/>
      <c r="Q53" s="60"/>
      <c r="R53" s="60"/>
      <c r="S53" s="60"/>
      <c r="T53" s="60"/>
      <c r="U53" s="60"/>
      <c r="V53" s="60"/>
      <c r="W53" s="60"/>
    </row>
    <row r="54" spans="1:23">
      <c r="A54" s="60"/>
      <c r="B54" s="141">
        <f t="shared" si="0"/>
        <v>44739</v>
      </c>
      <c r="C54" s="142" t="str">
        <f>VLOOKUP(B54,'Trip Dreaming'!$K$6:$M$30,3,TRUE)</f>
        <v>Edinburgh, Scotland</v>
      </c>
      <c r="D54" s="116" t="str">
        <f>IF(VLOOKUP(B54,Accomodations!$B$7:$F$31,5,TRUE)=0," ",VLOOKUP(B54,Accomodations!$B$7:$F$31,5,TRUE))</f>
        <v>Kick Ass Greyfriars</v>
      </c>
      <c r="E54" s="142" t="str">
        <f>IF(Table2[[#This Row],[Location]]=C53," ", "Yes")</f>
        <v xml:space="preserve"> </v>
      </c>
      <c r="F54" s="197" t="s">
        <v>71</v>
      </c>
      <c r="G54" s="197" t="s">
        <v>83</v>
      </c>
      <c r="H54" s="197"/>
      <c r="I54" s="197"/>
      <c r="J54" s="60"/>
      <c r="K54" s="60"/>
      <c r="L54" s="60"/>
      <c r="M54" s="60"/>
      <c r="N54" s="60"/>
      <c r="O54" s="60"/>
      <c r="P54" s="60"/>
      <c r="Q54" s="60"/>
      <c r="R54" s="60"/>
      <c r="S54" s="60"/>
      <c r="T54" s="60"/>
      <c r="U54" s="60"/>
      <c r="V54" s="60"/>
      <c r="W54" s="60"/>
    </row>
    <row r="55" spans="1:23">
      <c r="A55" s="60"/>
      <c r="B55" s="141">
        <f t="shared" si="0"/>
        <v>44740</v>
      </c>
      <c r="C55" s="142" t="str">
        <f>VLOOKUP(B55,'Trip Dreaming'!$K$6:$M$30,3,TRUE)</f>
        <v>London, England</v>
      </c>
      <c r="D55" s="116" t="str">
        <f>IF(VLOOKUP(B55,Accomodations!$B$7:$F$31,5,TRUE)=0," ",VLOOKUP(B55,Accomodations!$B$7:$F$31,5,TRUE))</f>
        <v>PubLove @ The White Ferry</v>
      </c>
      <c r="E55" s="142" t="str">
        <f>IF(Table2[[#This Row],[Location]]=C54," ", "Yes")</f>
        <v>Yes</v>
      </c>
      <c r="F55" s="197"/>
      <c r="G55" s="197" t="s">
        <v>107</v>
      </c>
      <c r="H55" s="197"/>
      <c r="I55" s="197"/>
      <c r="J55" s="60"/>
      <c r="K55" s="60"/>
      <c r="L55" s="60"/>
      <c r="M55" s="60"/>
      <c r="N55" s="60"/>
      <c r="O55" s="60"/>
      <c r="P55" s="60"/>
      <c r="Q55" s="60"/>
      <c r="R55" s="60"/>
      <c r="S55" s="60"/>
      <c r="T55" s="60"/>
      <c r="U55" s="60"/>
      <c r="V55" s="60"/>
      <c r="W55" s="60"/>
    </row>
    <row r="56" spans="1:23">
      <c r="A56" s="60"/>
      <c r="B56" s="141">
        <f t="shared" si="0"/>
        <v>44741</v>
      </c>
      <c r="C56" s="142" t="str">
        <f>VLOOKUP(B56,'Trip Dreaming'!$K$6:$M$30,3,TRUE)</f>
        <v>London, England</v>
      </c>
      <c r="D56" s="116" t="str">
        <f>IF(VLOOKUP(B56,Accomodations!$B$7:$F$31,5,TRUE)=0," ",VLOOKUP(B56,Accomodations!$B$7:$F$31,5,TRUE))</f>
        <v>PubLove @ The White Ferry</v>
      </c>
      <c r="E56" s="142" t="str">
        <f>IF(Table2[[#This Row],[Location]]=C55," ", "Yes")</f>
        <v xml:space="preserve"> </v>
      </c>
      <c r="F56" s="197"/>
      <c r="G56" s="197" t="s">
        <v>108</v>
      </c>
      <c r="H56" s="197"/>
      <c r="I56" s="197"/>
      <c r="J56" s="60"/>
      <c r="K56" s="60"/>
      <c r="L56" s="60"/>
      <c r="M56" s="60"/>
      <c r="N56" s="60"/>
      <c r="O56" s="60"/>
      <c r="P56" s="60"/>
      <c r="Q56" s="60"/>
      <c r="R56" s="60"/>
      <c r="S56" s="60"/>
      <c r="T56" s="60"/>
      <c r="U56" s="60"/>
      <c r="V56" s="60"/>
      <c r="W56" s="60"/>
    </row>
    <row r="57" spans="1:23">
      <c r="A57" s="60"/>
      <c r="B57" s="141">
        <f t="shared" si="0"/>
        <v>44742</v>
      </c>
      <c r="C57" s="142" t="str">
        <f>VLOOKUP(B57,'Trip Dreaming'!$K$6:$M$30,3,TRUE)</f>
        <v>London, England</v>
      </c>
      <c r="D57" s="116" t="str">
        <f>IF(VLOOKUP(B57,Accomodations!$B$7:$F$31,5,TRUE)=0," ",VLOOKUP(B57,Accomodations!$B$7:$F$31,5,TRUE))</f>
        <v>PubLove @ The White Ferry</v>
      </c>
      <c r="E57" s="142" t="str">
        <f>IF(Table2[[#This Row],[Location]]=C56," ", "Yes")</f>
        <v xml:space="preserve"> </v>
      </c>
      <c r="F57" s="197"/>
      <c r="G57" s="197" t="s">
        <v>109</v>
      </c>
      <c r="H57" s="197"/>
      <c r="I57" s="197"/>
      <c r="J57" s="60"/>
      <c r="K57" s="60"/>
      <c r="L57" s="60"/>
      <c r="M57" s="60"/>
      <c r="N57" s="60"/>
      <c r="O57" s="60"/>
      <c r="P57" s="60"/>
      <c r="Q57" s="60"/>
      <c r="R57" s="60"/>
      <c r="S57" s="60"/>
      <c r="T57" s="60"/>
      <c r="U57" s="60"/>
      <c r="V57" s="60"/>
      <c r="W57" s="60"/>
    </row>
    <row r="58" spans="1:23">
      <c r="A58" s="60"/>
      <c r="B58" s="141">
        <f t="shared" si="0"/>
        <v>44743</v>
      </c>
      <c r="C58" s="142" t="str">
        <f>VLOOKUP(B58,'Trip Dreaming'!$K$6:$M$30,3,TRUE)</f>
        <v>London, England</v>
      </c>
      <c r="D58" s="116" t="str">
        <f>IF(VLOOKUP(B58,Accomodations!$B$7:$F$31,5,TRUE)=0," ",VLOOKUP(B58,Accomodations!$B$7:$F$31,5,TRUE))</f>
        <v>PubLove @ The White Ferry</v>
      </c>
      <c r="E58" s="142" t="str">
        <f>IF(Table2[[#This Row],[Location]]=C57," ", "Yes")</f>
        <v xml:space="preserve"> </v>
      </c>
      <c r="F58" s="197"/>
      <c r="G58" s="197" t="s">
        <v>110</v>
      </c>
      <c r="H58" s="197"/>
      <c r="I58" s="197"/>
      <c r="J58" s="60"/>
      <c r="K58" s="60"/>
      <c r="L58" s="60"/>
      <c r="M58" s="60"/>
      <c r="N58" s="60"/>
      <c r="O58" s="60"/>
      <c r="P58" s="60"/>
      <c r="Q58" s="60"/>
      <c r="R58" s="60"/>
      <c r="S58" s="60"/>
      <c r="T58" s="60"/>
      <c r="U58" s="60"/>
      <c r="V58" s="60"/>
      <c r="W58" s="60"/>
    </row>
    <row r="59" spans="1:23">
      <c r="A59" s="60"/>
      <c r="B59" s="141">
        <f t="shared" si="0"/>
        <v>44744</v>
      </c>
      <c r="C59" s="142" t="str">
        <f>VLOOKUP(B59,'Trip Dreaming'!$K$6:$M$30,3,TRUE)</f>
        <v>London, England</v>
      </c>
      <c r="D59" s="116" t="str">
        <f>IF(VLOOKUP(B59,Accomodations!$B$7:$F$31,5,TRUE)=0," ",VLOOKUP(B59,Accomodations!$B$7:$F$31,5,TRUE))</f>
        <v>PubLove @ The White Ferry</v>
      </c>
      <c r="E59" s="142" t="str">
        <f>IF(Table2[[#This Row],[Location]]=C58," ", "Yes")</f>
        <v xml:space="preserve"> </v>
      </c>
      <c r="F59" s="197"/>
      <c r="G59" s="197" t="s">
        <v>111</v>
      </c>
      <c r="H59" s="197"/>
      <c r="I59" s="197"/>
      <c r="J59" s="60"/>
      <c r="K59" s="60"/>
      <c r="L59" s="60"/>
      <c r="M59" s="60"/>
      <c r="N59" s="60"/>
      <c r="O59" s="60"/>
      <c r="P59" s="60"/>
      <c r="Q59" s="60"/>
      <c r="R59" s="60"/>
      <c r="S59" s="60"/>
      <c r="T59" s="60"/>
      <c r="U59" s="60"/>
      <c r="V59" s="60"/>
      <c r="W59" s="60"/>
    </row>
    <row r="60" spans="1:23">
      <c r="A60" s="60"/>
      <c r="B60" s="141">
        <f t="shared" si="0"/>
        <v>44745</v>
      </c>
      <c r="C60" s="142" t="str">
        <f>VLOOKUP(B60,'Trip Dreaming'!$K$6:$M$30,3,TRUE)</f>
        <v>London, England</v>
      </c>
      <c r="D60" s="116" t="str">
        <f>IF(VLOOKUP(B60,Accomodations!$B$7:$F$31,5,TRUE)=0," ",VLOOKUP(B60,Accomodations!$B$7:$F$31,5,TRUE))</f>
        <v>PubLove @ The White Ferry</v>
      </c>
      <c r="E60" s="142" t="str">
        <f>IF(Table2[[#This Row],[Location]]=C59," ", "Yes")</f>
        <v xml:space="preserve"> </v>
      </c>
      <c r="F60" s="197"/>
      <c r="G60" s="197" t="s">
        <v>112</v>
      </c>
      <c r="H60" s="197"/>
      <c r="I60" s="197"/>
      <c r="J60" s="60"/>
      <c r="K60" s="60"/>
      <c r="L60" s="60"/>
      <c r="M60" s="60"/>
      <c r="N60" s="60"/>
      <c r="O60" s="60"/>
      <c r="P60" s="60"/>
      <c r="Q60" s="60"/>
      <c r="R60" s="60"/>
      <c r="S60" s="60"/>
      <c r="T60" s="60"/>
      <c r="U60" s="60"/>
      <c r="V60" s="60"/>
      <c r="W60" s="60"/>
    </row>
    <row r="61" spans="1:23">
      <c r="A61" s="60"/>
      <c r="B61" s="141">
        <f t="shared" si="0"/>
        <v>44746</v>
      </c>
      <c r="C61" s="142" t="str">
        <f>VLOOKUP(B61,'Trip Dreaming'!$K$6:$M$30,3,TRUE)</f>
        <v>London, England</v>
      </c>
      <c r="D61" s="116" t="str">
        <f>IF(VLOOKUP(B61,Accomodations!$B$7:$F$31,5,TRUE)=0," ",VLOOKUP(B61,Accomodations!$B$7:$F$31,5,TRUE))</f>
        <v>PubLove @ The White Ferry</v>
      </c>
      <c r="E61" s="142" t="str">
        <f>IF(Table2[[#This Row],[Location]]=C60," ", "Yes")</f>
        <v xml:space="preserve"> </v>
      </c>
      <c r="F61" s="197"/>
      <c r="G61" s="197" t="s">
        <v>113</v>
      </c>
      <c r="H61" s="197"/>
      <c r="I61" s="197"/>
      <c r="J61" s="60"/>
      <c r="K61" s="60"/>
      <c r="L61" s="60"/>
      <c r="M61" s="60"/>
      <c r="N61" s="60"/>
      <c r="O61" s="60"/>
      <c r="P61" s="60"/>
      <c r="Q61" s="60"/>
      <c r="R61" s="60"/>
      <c r="S61" s="60"/>
      <c r="T61" s="60"/>
      <c r="U61" s="60"/>
      <c r="V61" s="60"/>
      <c r="W61" s="60"/>
    </row>
    <row r="62" spans="1:23">
      <c r="A62" s="60"/>
      <c r="B62" s="141">
        <f t="shared" si="0"/>
        <v>44747</v>
      </c>
      <c r="C62" s="142" t="str">
        <f>VLOOKUP(B62,'Trip Dreaming'!$K$6:$M$30,3,TRUE)</f>
        <v xml:space="preserve"> </v>
      </c>
      <c r="D62" s="116" t="str">
        <f>IF(VLOOKUP(B62,Accomodations!$B$7:$F$31,5,TRUE)=0," ",VLOOKUP(B62,Accomodations!$B$7:$F$31,5,TRUE))</f>
        <v xml:space="preserve"> </v>
      </c>
      <c r="E62" s="142" t="str">
        <f>IF(Table2[[#This Row],[Location]]=C61," ", "Yes")</f>
        <v>Yes</v>
      </c>
      <c r="F62" s="197" t="s">
        <v>114</v>
      </c>
      <c r="G62" s="197" t="s">
        <v>115</v>
      </c>
      <c r="H62" s="197"/>
      <c r="I62" s="197"/>
      <c r="J62" s="60"/>
      <c r="K62" s="60"/>
      <c r="L62" s="60"/>
      <c r="M62" s="60"/>
      <c r="N62" s="60"/>
      <c r="O62" s="60"/>
      <c r="P62" s="60"/>
      <c r="Q62" s="60"/>
      <c r="R62" s="60"/>
      <c r="S62" s="60"/>
      <c r="T62" s="60"/>
      <c r="U62" s="60"/>
      <c r="V62" s="60"/>
      <c r="W62" s="60"/>
    </row>
    <row r="63" spans="1:23">
      <c r="A63" s="60"/>
      <c r="B63" s="141">
        <f t="shared" si="0"/>
        <v>44748</v>
      </c>
      <c r="C63" s="142" t="str">
        <f>VLOOKUP(B63,'Trip Dreaming'!$K$6:$M$30,3,TRUE)</f>
        <v xml:space="preserve"> </v>
      </c>
      <c r="D63" s="116" t="str">
        <f>IF(VLOOKUP(B63,Accomodations!$B$7:$F$31,5,TRUE)=0," ",VLOOKUP(B63,Accomodations!$B$7:$F$31,5,TRUE))</f>
        <v xml:space="preserve"> </v>
      </c>
      <c r="E63" s="142" t="str">
        <f>IF(Table2[[#This Row],[Location]]=C62," ", "Yes")</f>
        <v xml:space="preserve"> </v>
      </c>
      <c r="F63" s="197"/>
      <c r="G63" s="197"/>
      <c r="H63" s="197"/>
      <c r="I63" s="197"/>
      <c r="J63" s="60"/>
      <c r="K63" s="60"/>
      <c r="L63" s="60"/>
      <c r="M63" s="60"/>
      <c r="N63" s="60"/>
      <c r="O63" s="60"/>
      <c r="P63" s="60"/>
      <c r="Q63" s="60"/>
      <c r="R63" s="60"/>
      <c r="S63" s="60"/>
      <c r="T63" s="60"/>
      <c r="U63" s="60"/>
      <c r="V63" s="60"/>
      <c r="W63" s="60"/>
    </row>
    <row r="64" spans="1:23">
      <c r="A64" s="60"/>
      <c r="B64" s="141">
        <f t="shared" si="0"/>
        <v>44749</v>
      </c>
      <c r="C64" s="142" t="str">
        <f>VLOOKUP(B64,'Trip Dreaming'!$K$6:$M$30,3,TRUE)</f>
        <v xml:space="preserve"> </v>
      </c>
      <c r="D64" s="116" t="str">
        <f>IF(VLOOKUP(B64,Accomodations!$B$7:$F$31,5,TRUE)=0," ",VLOOKUP(B64,Accomodations!$B$7:$F$31,5,TRUE))</f>
        <v xml:space="preserve"> </v>
      </c>
      <c r="E64" s="142" t="str">
        <f>IF(Table2[[#This Row],[Location]]=C63," ", "Yes")</f>
        <v xml:space="preserve"> </v>
      </c>
      <c r="F64" s="197"/>
      <c r="G64" s="197"/>
      <c r="H64" s="197"/>
      <c r="I64" s="197"/>
      <c r="J64" s="60"/>
      <c r="K64" s="60"/>
      <c r="L64" s="60"/>
      <c r="M64" s="60"/>
      <c r="N64" s="60"/>
      <c r="O64" s="60"/>
      <c r="P64" s="60"/>
      <c r="Q64" s="60"/>
      <c r="R64" s="60"/>
      <c r="S64" s="60"/>
      <c r="T64" s="60"/>
      <c r="U64" s="60"/>
      <c r="V64" s="60"/>
      <c r="W64" s="60"/>
    </row>
    <row r="65" spans="1:23">
      <c r="A65" s="60"/>
      <c r="B65" s="141">
        <f t="shared" si="0"/>
        <v>44750</v>
      </c>
      <c r="C65" s="142" t="str">
        <f>VLOOKUP(B65,'Trip Dreaming'!$K$6:$M$30,3,TRUE)</f>
        <v xml:space="preserve"> </v>
      </c>
      <c r="D65" s="116" t="str">
        <f>IF(VLOOKUP(B65,Accomodations!$B$7:$F$31,5,TRUE)=0," ",VLOOKUP(B65,Accomodations!$B$7:$F$31,5,TRUE))</f>
        <v xml:space="preserve"> </v>
      </c>
      <c r="E65" s="142" t="str">
        <f>IF(Table2[[#This Row],[Location]]=C64," ", "Yes")</f>
        <v xml:space="preserve"> </v>
      </c>
      <c r="F65" s="197"/>
      <c r="G65" s="197"/>
      <c r="H65" s="197"/>
      <c r="I65" s="197"/>
      <c r="J65" s="60"/>
      <c r="K65" s="60"/>
      <c r="L65" s="60"/>
      <c r="M65" s="60"/>
      <c r="N65" s="60"/>
      <c r="O65" s="60"/>
      <c r="P65" s="60"/>
      <c r="Q65" s="60"/>
      <c r="R65" s="60"/>
      <c r="S65" s="60"/>
      <c r="T65" s="60"/>
      <c r="U65" s="60"/>
      <c r="V65" s="60"/>
      <c r="W65" s="60"/>
    </row>
    <row r="66" spans="1:23">
      <c r="A66" s="60"/>
      <c r="B66" s="141">
        <f t="shared" si="0"/>
        <v>44751</v>
      </c>
      <c r="C66" s="142" t="str">
        <f>VLOOKUP(B66,'Trip Dreaming'!$K$6:$M$30,3,TRUE)</f>
        <v xml:space="preserve"> </v>
      </c>
      <c r="D66" s="116" t="str">
        <f>IF(VLOOKUP(B66,Accomodations!$B$7:$F$31,5,TRUE)=0," ",VLOOKUP(B66,Accomodations!$B$7:$F$31,5,TRUE))</f>
        <v xml:space="preserve"> </v>
      </c>
      <c r="E66" s="142" t="str">
        <f>IF(Table2[[#This Row],[Location]]=C65," ", "Yes")</f>
        <v xml:space="preserve"> </v>
      </c>
      <c r="F66" s="197"/>
      <c r="G66" s="197"/>
      <c r="H66" s="197"/>
      <c r="I66" s="197"/>
      <c r="J66" s="60"/>
      <c r="K66" s="60"/>
      <c r="L66" s="60"/>
      <c r="M66" s="60"/>
      <c r="N66" s="60"/>
      <c r="O66" s="60"/>
      <c r="P66" s="60"/>
      <c r="Q66" s="60"/>
      <c r="R66" s="60"/>
      <c r="S66" s="60"/>
      <c r="T66" s="60"/>
      <c r="U66" s="60"/>
      <c r="V66" s="60"/>
      <c r="W66" s="60"/>
    </row>
    <row r="67" spans="1:23">
      <c r="A67" s="60"/>
      <c r="B67" s="141">
        <f t="shared" si="0"/>
        <v>44752</v>
      </c>
      <c r="C67" s="142" t="str">
        <f>VLOOKUP(B67,'Trip Dreaming'!$K$6:$M$30,3,TRUE)</f>
        <v xml:space="preserve"> </v>
      </c>
      <c r="D67" s="116" t="str">
        <f>IF(VLOOKUP(B67,Accomodations!$B$7:$F$31,5,TRUE)=0," ",VLOOKUP(B67,Accomodations!$B$7:$F$31,5,TRUE))</f>
        <v xml:space="preserve"> </v>
      </c>
      <c r="E67" s="142" t="str">
        <f>IF(Table2[[#This Row],[Location]]=C66," ", "Yes")</f>
        <v xml:space="preserve"> </v>
      </c>
      <c r="F67" s="197"/>
      <c r="G67" s="197"/>
      <c r="H67" s="197"/>
      <c r="I67" s="197"/>
      <c r="J67" s="60"/>
      <c r="K67" s="60"/>
      <c r="L67" s="60"/>
      <c r="M67" s="60"/>
      <c r="N67" s="60"/>
      <c r="O67" s="60"/>
      <c r="P67" s="60"/>
      <c r="Q67" s="60"/>
      <c r="R67" s="60"/>
      <c r="S67" s="60"/>
      <c r="T67" s="60"/>
      <c r="U67" s="60"/>
      <c r="V67" s="60"/>
      <c r="W67" s="60"/>
    </row>
    <row r="68" spans="1:23">
      <c r="A68" s="60"/>
      <c r="B68" s="141">
        <f t="shared" si="0"/>
        <v>44753</v>
      </c>
      <c r="C68" s="142" t="str">
        <f>VLOOKUP(B68,'Trip Dreaming'!$K$6:$M$30,3,TRUE)</f>
        <v xml:space="preserve"> </v>
      </c>
      <c r="D68" s="116" t="str">
        <f>IF(VLOOKUP(B68,Accomodations!$B$7:$F$31,5,TRUE)=0," ",VLOOKUP(B68,Accomodations!$B$7:$F$31,5,TRUE))</f>
        <v xml:space="preserve"> </v>
      </c>
      <c r="E68" s="142" t="str">
        <f>IF(Table2[[#This Row],[Location]]=C67," ", "Yes")</f>
        <v xml:space="preserve"> </v>
      </c>
      <c r="F68" s="197"/>
      <c r="G68" s="197"/>
      <c r="H68" s="197"/>
      <c r="I68" s="197"/>
      <c r="J68" s="60"/>
      <c r="K68" s="60"/>
      <c r="L68" s="60"/>
      <c r="M68" s="60"/>
      <c r="N68" s="60"/>
      <c r="O68" s="60"/>
      <c r="P68" s="60"/>
      <c r="Q68" s="60"/>
      <c r="R68" s="60"/>
      <c r="S68" s="60"/>
      <c r="T68" s="60"/>
      <c r="U68" s="60"/>
      <c r="V68" s="60"/>
      <c r="W68" s="60"/>
    </row>
    <row r="69" spans="1:23">
      <c r="A69" s="60"/>
      <c r="B69" s="141">
        <f t="shared" si="0"/>
        <v>44754</v>
      </c>
      <c r="C69" s="142" t="str">
        <f>VLOOKUP(B69,'Trip Dreaming'!$K$6:$M$30,3,TRUE)</f>
        <v xml:space="preserve"> </v>
      </c>
      <c r="D69" s="116" t="str">
        <f>IF(VLOOKUP(B69,Accomodations!$B$7:$F$31,5,TRUE)=0," ",VLOOKUP(B69,Accomodations!$B$7:$F$31,5,TRUE))</f>
        <v xml:space="preserve"> </v>
      </c>
      <c r="E69" s="142" t="str">
        <f>IF(Table2[[#This Row],[Location]]=C68," ", "Yes")</f>
        <v xml:space="preserve"> </v>
      </c>
      <c r="F69" s="197"/>
      <c r="G69" s="197"/>
      <c r="H69" s="197"/>
      <c r="I69" s="197"/>
      <c r="J69" s="60"/>
      <c r="K69" s="60"/>
      <c r="L69" s="60"/>
      <c r="M69" s="60"/>
      <c r="N69" s="60"/>
      <c r="O69" s="60"/>
      <c r="P69" s="60"/>
      <c r="Q69" s="60"/>
      <c r="R69" s="60"/>
      <c r="S69" s="60"/>
      <c r="T69" s="60"/>
      <c r="U69" s="60"/>
      <c r="V69" s="60"/>
      <c r="W69" s="60"/>
    </row>
    <row r="70" spans="1:23">
      <c r="A70" s="60"/>
      <c r="B70" s="141">
        <f t="shared" si="0"/>
        <v>44755</v>
      </c>
      <c r="C70" s="142" t="str">
        <f>VLOOKUP(B70,'Trip Dreaming'!$K$6:$M$30,3,TRUE)</f>
        <v xml:space="preserve"> </v>
      </c>
      <c r="D70" s="116" t="str">
        <f>IF(VLOOKUP(B70,Accomodations!$B$7:$F$31,5,TRUE)=0," ",VLOOKUP(B70,Accomodations!$B$7:$F$31,5,TRUE))</f>
        <v xml:space="preserve"> </v>
      </c>
      <c r="E70" s="142" t="str">
        <f>IF(Table2[[#This Row],[Location]]=C69," ", "Yes")</f>
        <v xml:space="preserve"> </v>
      </c>
      <c r="F70" s="197"/>
      <c r="G70" s="197"/>
      <c r="H70" s="197"/>
      <c r="I70" s="197"/>
      <c r="J70" s="60"/>
      <c r="K70" s="60"/>
      <c r="L70" s="60"/>
      <c r="M70" s="60"/>
      <c r="N70" s="60"/>
      <c r="O70" s="60"/>
      <c r="P70" s="60"/>
      <c r="Q70" s="60"/>
      <c r="R70" s="60"/>
      <c r="S70" s="60"/>
      <c r="T70" s="60"/>
      <c r="U70" s="60"/>
      <c r="V70" s="60"/>
      <c r="W70" s="60"/>
    </row>
    <row r="71" spans="1:23">
      <c r="A71" s="60"/>
      <c r="B71" s="141">
        <f t="shared" si="0"/>
        <v>44756</v>
      </c>
      <c r="C71" s="142" t="str">
        <f>VLOOKUP(B71,'Trip Dreaming'!$K$6:$M$30,3,TRUE)</f>
        <v xml:space="preserve"> </v>
      </c>
      <c r="D71" s="116" t="str">
        <f>IF(VLOOKUP(B71,Accomodations!$B$7:$F$31,5,TRUE)=0," ",VLOOKUP(B71,Accomodations!$B$7:$F$31,5,TRUE))</f>
        <v xml:space="preserve"> </v>
      </c>
      <c r="E71" s="142" t="str">
        <f>IF(Table2[[#This Row],[Location]]=C70," ", "Yes")</f>
        <v xml:space="preserve"> </v>
      </c>
      <c r="F71" s="197"/>
      <c r="G71" s="197"/>
      <c r="H71" s="197"/>
      <c r="I71" s="197"/>
      <c r="J71" s="60"/>
      <c r="K71" s="60"/>
      <c r="L71" s="60"/>
      <c r="M71" s="60"/>
      <c r="N71" s="60"/>
      <c r="O71" s="60"/>
      <c r="P71" s="60"/>
      <c r="Q71" s="60"/>
      <c r="R71" s="60"/>
      <c r="S71" s="60"/>
      <c r="T71" s="60"/>
      <c r="U71" s="60"/>
      <c r="V71" s="60"/>
      <c r="W71" s="60"/>
    </row>
    <row r="72" spans="1:23">
      <c r="A72" s="60"/>
      <c r="B72" s="141">
        <f t="shared" si="0"/>
        <v>44757</v>
      </c>
      <c r="C72" s="142" t="str">
        <f>VLOOKUP(B72,'Trip Dreaming'!$K$6:$M$30,3,TRUE)</f>
        <v xml:space="preserve"> </v>
      </c>
      <c r="D72" s="116" t="str">
        <f>IF(VLOOKUP(B72,Accomodations!$B$7:$F$31,5,TRUE)=0," ",VLOOKUP(B72,Accomodations!$B$7:$F$31,5,TRUE))</f>
        <v xml:space="preserve"> </v>
      </c>
      <c r="E72" s="142" t="str">
        <f>IF(Table2[[#This Row],[Location]]=C71," ", "Yes")</f>
        <v xml:space="preserve"> </v>
      </c>
      <c r="F72" s="197"/>
      <c r="G72" s="197"/>
      <c r="H72" s="197"/>
      <c r="I72" s="197"/>
      <c r="J72" s="60"/>
      <c r="K72" s="60"/>
      <c r="L72" s="60"/>
      <c r="M72" s="60"/>
      <c r="N72" s="60"/>
      <c r="O72" s="60"/>
      <c r="P72" s="60"/>
      <c r="Q72" s="60"/>
      <c r="R72" s="60"/>
      <c r="S72" s="60"/>
      <c r="T72" s="60"/>
      <c r="U72" s="60"/>
      <c r="V72" s="60"/>
      <c r="W72" s="60"/>
    </row>
    <row r="73" spans="1:23">
      <c r="A73" s="60"/>
      <c r="B73" s="141">
        <f t="shared" si="0"/>
        <v>44758</v>
      </c>
      <c r="C73" s="142" t="str">
        <f>VLOOKUP(B73,'Trip Dreaming'!$K$6:$M$30,3,TRUE)</f>
        <v xml:space="preserve"> </v>
      </c>
      <c r="D73" s="116" t="str">
        <f>IF(VLOOKUP(B73,Accomodations!$B$7:$F$31,5,TRUE)=0," ",VLOOKUP(B73,Accomodations!$B$7:$F$31,5,TRUE))</f>
        <v xml:space="preserve"> </v>
      </c>
      <c r="E73" s="142" t="str">
        <f>IF(Table2[[#This Row],[Location]]=C72," ", "Yes")</f>
        <v xml:space="preserve"> </v>
      </c>
      <c r="F73" s="197"/>
      <c r="G73" s="197"/>
      <c r="H73" s="197"/>
      <c r="I73" s="197"/>
      <c r="J73" s="60"/>
      <c r="K73" s="60"/>
      <c r="L73" s="60"/>
      <c r="M73" s="60"/>
      <c r="N73" s="60"/>
      <c r="O73" s="60"/>
      <c r="P73" s="60"/>
      <c r="Q73" s="60"/>
      <c r="R73" s="60"/>
      <c r="S73" s="60"/>
      <c r="T73" s="60"/>
      <c r="U73" s="60"/>
      <c r="V73" s="60"/>
      <c r="W73" s="60"/>
    </row>
    <row r="74" spans="1:23">
      <c r="A74" s="60"/>
      <c r="B74" s="141">
        <f t="shared" si="0"/>
        <v>44759</v>
      </c>
      <c r="C74" s="142" t="str">
        <f>VLOOKUP(B74,'Trip Dreaming'!$K$6:$M$30,3,TRUE)</f>
        <v xml:space="preserve"> </v>
      </c>
      <c r="D74" s="116" t="str">
        <f>IF(VLOOKUP(B74,Accomodations!$B$7:$F$31,5,TRUE)=0," ",VLOOKUP(B74,Accomodations!$B$7:$F$31,5,TRUE))</f>
        <v xml:space="preserve"> </v>
      </c>
      <c r="E74" s="142" t="str">
        <f>IF(Table2[[#This Row],[Location]]=C73," ", "Yes")</f>
        <v xml:space="preserve"> </v>
      </c>
      <c r="F74" s="197"/>
      <c r="G74" s="197"/>
      <c r="H74" s="197"/>
      <c r="I74" s="197"/>
      <c r="J74" s="60"/>
      <c r="K74" s="60"/>
      <c r="L74" s="60"/>
      <c r="M74" s="60"/>
      <c r="N74" s="60"/>
      <c r="O74" s="60"/>
      <c r="P74" s="60"/>
      <c r="Q74" s="60"/>
      <c r="R74" s="60"/>
      <c r="S74" s="60"/>
      <c r="T74" s="60"/>
      <c r="U74" s="60"/>
      <c r="V74" s="60"/>
      <c r="W74" s="60"/>
    </row>
    <row r="75" spans="1:23">
      <c r="A75" s="60"/>
      <c r="B75" s="141">
        <f t="shared" ref="B75:B108" si="1">B74+1</f>
        <v>44760</v>
      </c>
      <c r="C75" s="142" t="str">
        <f>VLOOKUP(B75,'Trip Dreaming'!$K$6:$M$30,3,TRUE)</f>
        <v xml:space="preserve"> </v>
      </c>
      <c r="D75" s="116" t="str">
        <f>IF(VLOOKUP(B75,Accomodations!$B$7:$F$31,5,TRUE)=0," ",VLOOKUP(B75,Accomodations!$B$7:$F$31,5,TRUE))</f>
        <v xml:space="preserve"> </v>
      </c>
      <c r="E75" s="142" t="str">
        <f>IF(Table2[[#This Row],[Location]]=C74," ", "Yes")</f>
        <v xml:space="preserve"> </v>
      </c>
      <c r="F75" s="197"/>
      <c r="G75" s="197"/>
      <c r="H75" s="197"/>
      <c r="I75" s="197"/>
      <c r="J75" s="60"/>
      <c r="K75" s="60"/>
      <c r="L75" s="60"/>
      <c r="M75" s="60"/>
      <c r="N75" s="60"/>
      <c r="O75" s="60"/>
      <c r="P75" s="60"/>
      <c r="Q75" s="60"/>
      <c r="R75" s="60"/>
      <c r="S75" s="60"/>
      <c r="T75" s="60"/>
      <c r="U75" s="60"/>
      <c r="V75" s="60"/>
      <c r="W75" s="60"/>
    </row>
    <row r="76" spans="1:23">
      <c r="A76" s="60"/>
      <c r="B76" s="141">
        <f t="shared" si="1"/>
        <v>44761</v>
      </c>
      <c r="C76" s="142" t="str">
        <f>VLOOKUP(B76,'Trip Dreaming'!$K$6:$M$30,3,TRUE)</f>
        <v xml:space="preserve"> </v>
      </c>
      <c r="D76" s="116" t="str">
        <f>IF(VLOOKUP(B76,Accomodations!$B$7:$F$31,5,TRUE)=0," ",VLOOKUP(B76,Accomodations!$B$7:$F$31,5,TRUE))</f>
        <v xml:space="preserve"> </v>
      </c>
      <c r="E76" s="142" t="str">
        <f>IF(Table2[[#This Row],[Location]]=C75," ", "Yes")</f>
        <v xml:space="preserve"> </v>
      </c>
      <c r="F76" s="197"/>
      <c r="G76" s="197"/>
      <c r="H76" s="197"/>
      <c r="I76" s="197"/>
      <c r="J76" s="60"/>
      <c r="K76" s="60"/>
      <c r="L76" s="60"/>
      <c r="M76" s="60"/>
      <c r="N76" s="60"/>
      <c r="O76" s="60"/>
      <c r="P76" s="60"/>
      <c r="Q76" s="60"/>
      <c r="R76" s="60"/>
      <c r="S76" s="60"/>
      <c r="T76" s="60"/>
      <c r="U76" s="60"/>
      <c r="V76" s="60"/>
      <c r="W76" s="60"/>
    </row>
    <row r="77" spans="1:23">
      <c r="A77" s="60"/>
      <c r="B77" s="141">
        <f t="shared" si="1"/>
        <v>44762</v>
      </c>
      <c r="C77" s="142" t="str">
        <f>VLOOKUP(B77,'Trip Dreaming'!$K$6:$M$30,3,TRUE)</f>
        <v xml:space="preserve"> </v>
      </c>
      <c r="D77" s="116" t="str">
        <f>IF(VLOOKUP(B77,Accomodations!$B$7:$F$31,5,TRUE)=0," ",VLOOKUP(B77,Accomodations!$B$7:$F$31,5,TRUE))</f>
        <v xml:space="preserve"> </v>
      </c>
      <c r="E77" s="142" t="str">
        <f>IF(Table2[[#This Row],[Location]]=C76," ", "Yes")</f>
        <v xml:space="preserve"> </v>
      </c>
      <c r="F77" s="197"/>
      <c r="G77" s="197"/>
      <c r="H77" s="197"/>
      <c r="I77" s="197"/>
      <c r="J77" s="60"/>
      <c r="K77" s="60"/>
      <c r="L77" s="60"/>
      <c r="M77" s="60"/>
      <c r="N77" s="60"/>
      <c r="O77" s="60"/>
      <c r="P77" s="60"/>
      <c r="Q77" s="60"/>
      <c r="R77" s="60"/>
      <c r="S77" s="60"/>
      <c r="T77" s="60"/>
      <c r="U77" s="60"/>
      <c r="V77" s="60"/>
      <c r="W77" s="60"/>
    </row>
    <row r="78" spans="1:23">
      <c r="A78" s="60"/>
      <c r="B78" s="141">
        <f t="shared" si="1"/>
        <v>44763</v>
      </c>
      <c r="C78" s="142" t="str">
        <f>VLOOKUP(B78,'Trip Dreaming'!$K$6:$M$30,3,TRUE)</f>
        <v xml:space="preserve"> </v>
      </c>
      <c r="D78" s="116" t="str">
        <f>IF(VLOOKUP(B78,Accomodations!$B$7:$F$31,5,TRUE)=0," ",VLOOKUP(B78,Accomodations!$B$7:$F$31,5,TRUE))</f>
        <v xml:space="preserve"> </v>
      </c>
      <c r="E78" s="142" t="str">
        <f>IF(Table2[[#This Row],[Location]]=C77," ", "Yes")</f>
        <v xml:space="preserve"> </v>
      </c>
      <c r="F78" s="197"/>
      <c r="G78" s="197"/>
      <c r="H78" s="197"/>
      <c r="I78" s="197"/>
      <c r="J78" s="60"/>
      <c r="K78" s="60"/>
      <c r="L78" s="60"/>
      <c r="M78" s="60"/>
      <c r="N78" s="60"/>
      <c r="O78" s="60"/>
      <c r="P78" s="60"/>
      <c r="Q78" s="60"/>
      <c r="R78" s="60"/>
      <c r="S78" s="60"/>
      <c r="T78" s="60"/>
      <c r="U78" s="60"/>
      <c r="V78" s="60"/>
      <c r="W78" s="60"/>
    </row>
    <row r="79" spans="1:23">
      <c r="A79" s="60"/>
      <c r="B79" s="141">
        <f t="shared" si="1"/>
        <v>44764</v>
      </c>
      <c r="C79" s="142" t="str">
        <f>VLOOKUP(B79,'Trip Dreaming'!$K$6:$M$30,3,TRUE)</f>
        <v xml:space="preserve"> </v>
      </c>
      <c r="D79" s="116" t="str">
        <f>IF(VLOOKUP(B79,Accomodations!$B$7:$F$31,5,TRUE)=0," ",VLOOKUP(B79,Accomodations!$B$7:$F$31,5,TRUE))</f>
        <v xml:space="preserve"> </v>
      </c>
      <c r="E79" s="142" t="str">
        <f>IF(Table2[[#This Row],[Location]]=C78," ", "Yes")</f>
        <v xml:space="preserve"> </v>
      </c>
      <c r="F79" s="197"/>
      <c r="G79" s="197"/>
      <c r="H79" s="197"/>
      <c r="I79" s="197"/>
      <c r="J79" s="60"/>
      <c r="K79" s="60"/>
      <c r="L79" s="60"/>
      <c r="M79" s="60"/>
      <c r="N79" s="60"/>
      <c r="O79" s="60"/>
      <c r="P79" s="60"/>
      <c r="Q79" s="60"/>
      <c r="R79" s="60"/>
      <c r="S79" s="60"/>
      <c r="T79" s="60"/>
      <c r="U79" s="60"/>
      <c r="V79" s="60"/>
      <c r="W79" s="60"/>
    </row>
    <row r="80" spans="1:23">
      <c r="A80" s="60"/>
      <c r="B80" s="141">
        <f t="shared" si="1"/>
        <v>44765</v>
      </c>
      <c r="C80" s="142" t="str">
        <f>VLOOKUP(B80,'Trip Dreaming'!$K$6:$M$30,3,TRUE)</f>
        <v xml:space="preserve"> </v>
      </c>
      <c r="D80" s="116" t="str">
        <f>IF(VLOOKUP(B80,Accomodations!$B$7:$F$31,5,TRUE)=0," ",VLOOKUP(B80,Accomodations!$B$7:$F$31,5,TRUE))</f>
        <v xml:space="preserve"> </v>
      </c>
      <c r="E80" s="142" t="str">
        <f>IF(Table2[[#This Row],[Location]]=C79," ", "Yes")</f>
        <v xml:space="preserve"> </v>
      </c>
      <c r="F80" s="197"/>
      <c r="G80" s="197"/>
      <c r="H80" s="197"/>
      <c r="I80" s="197"/>
      <c r="J80" s="60"/>
      <c r="K80" s="60"/>
      <c r="L80" s="60"/>
      <c r="M80" s="60"/>
      <c r="N80" s="60"/>
      <c r="O80" s="60"/>
      <c r="P80" s="60"/>
      <c r="Q80" s="60"/>
      <c r="R80" s="60"/>
      <c r="S80" s="60"/>
      <c r="T80" s="60"/>
      <c r="U80" s="60"/>
      <c r="V80" s="60"/>
      <c r="W80" s="60"/>
    </row>
    <row r="81" spans="1:23">
      <c r="A81" s="60"/>
      <c r="B81" s="141">
        <f t="shared" si="1"/>
        <v>44766</v>
      </c>
      <c r="C81" s="142" t="str">
        <f>VLOOKUP(B81,'Trip Dreaming'!$K$6:$M$30,3,TRUE)</f>
        <v xml:space="preserve"> </v>
      </c>
      <c r="D81" s="116" t="str">
        <f>IF(VLOOKUP(B81,Accomodations!$B$7:$F$31,5,TRUE)=0," ",VLOOKUP(B81,Accomodations!$B$7:$F$31,5,TRUE))</f>
        <v xml:space="preserve"> </v>
      </c>
      <c r="E81" s="142" t="str">
        <f>IF(Table2[[#This Row],[Location]]=C80," ", "Yes")</f>
        <v xml:space="preserve"> </v>
      </c>
      <c r="F81" s="197"/>
      <c r="G81" s="197"/>
      <c r="H81" s="197"/>
      <c r="I81" s="197"/>
      <c r="J81" s="60"/>
      <c r="K81" s="60"/>
      <c r="L81" s="60"/>
      <c r="M81" s="60"/>
      <c r="N81" s="60"/>
      <c r="O81" s="60"/>
      <c r="P81" s="60"/>
      <c r="Q81" s="60"/>
      <c r="R81" s="60"/>
      <c r="S81" s="60"/>
      <c r="T81" s="60"/>
      <c r="U81" s="60"/>
      <c r="V81" s="60"/>
      <c r="W81" s="60"/>
    </row>
    <row r="82" spans="1:23">
      <c r="A82" s="60"/>
      <c r="B82" s="141">
        <f t="shared" si="1"/>
        <v>44767</v>
      </c>
      <c r="C82" s="142" t="str">
        <f>VLOOKUP(B82,'Trip Dreaming'!$K$6:$M$30,3,TRUE)</f>
        <v xml:space="preserve"> </v>
      </c>
      <c r="D82" s="116" t="str">
        <f>IF(VLOOKUP(B82,Accomodations!$B$7:$F$31,5,TRUE)=0," ",VLOOKUP(B82,Accomodations!$B$7:$F$31,5,TRUE))</f>
        <v xml:space="preserve"> </v>
      </c>
      <c r="E82" s="142" t="str">
        <f>IF(Table2[[#This Row],[Location]]=C81," ", "Yes")</f>
        <v xml:space="preserve"> </v>
      </c>
      <c r="F82" s="197"/>
      <c r="G82" s="197"/>
      <c r="H82" s="197"/>
      <c r="I82" s="197"/>
      <c r="J82" s="60"/>
      <c r="K82" s="60"/>
      <c r="L82" s="60"/>
      <c r="M82" s="60"/>
      <c r="N82" s="60"/>
      <c r="O82" s="60"/>
      <c r="P82" s="60"/>
      <c r="Q82" s="60"/>
      <c r="R82" s="60"/>
      <c r="S82" s="60"/>
      <c r="T82" s="60"/>
      <c r="U82" s="60"/>
      <c r="V82" s="60"/>
      <c r="W82" s="60"/>
    </row>
    <row r="83" spans="1:23">
      <c r="A83" s="60"/>
      <c r="B83" s="141">
        <f t="shared" si="1"/>
        <v>44768</v>
      </c>
      <c r="C83" s="142" t="str">
        <f>VLOOKUP(B83,'Trip Dreaming'!$K$6:$M$30,3,TRUE)</f>
        <v xml:space="preserve"> </v>
      </c>
      <c r="D83" s="116" t="str">
        <f>IF(VLOOKUP(B83,Accomodations!$B$7:$F$31,5,TRUE)=0," ",VLOOKUP(B83,Accomodations!$B$7:$F$31,5,TRUE))</f>
        <v xml:space="preserve"> </v>
      </c>
      <c r="E83" s="142" t="str">
        <f>IF(Table2[[#This Row],[Location]]=C82," ", "Yes")</f>
        <v xml:space="preserve"> </v>
      </c>
      <c r="F83" s="197"/>
      <c r="G83" s="197"/>
      <c r="H83" s="197"/>
      <c r="I83" s="197"/>
      <c r="J83" s="60"/>
      <c r="K83" s="60"/>
      <c r="L83" s="60"/>
      <c r="M83" s="60"/>
      <c r="N83" s="60"/>
      <c r="O83" s="60"/>
      <c r="P83" s="60"/>
      <c r="Q83" s="60"/>
      <c r="R83" s="60"/>
      <c r="S83" s="60"/>
      <c r="T83" s="60"/>
      <c r="U83" s="60"/>
      <c r="V83" s="60"/>
      <c r="W83" s="60"/>
    </row>
    <row r="84" spans="1:23">
      <c r="A84" s="60"/>
      <c r="B84" s="141">
        <f t="shared" si="1"/>
        <v>44769</v>
      </c>
      <c r="C84" s="142" t="str">
        <f>VLOOKUP(B84,'Trip Dreaming'!$K$6:$M$30,3,TRUE)</f>
        <v xml:space="preserve"> </v>
      </c>
      <c r="D84" s="116" t="str">
        <f>IF(VLOOKUP(B84,Accomodations!$B$7:$F$31,5,TRUE)=0," ",VLOOKUP(B84,Accomodations!$B$7:$F$31,5,TRUE))</f>
        <v xml:space="preserve"> </v>
      </c>
      <c r="E84" s="142" t="str">
        <f>IF(Table2[[#This Row],[Location]]=C83," ", "Yes")</f>
        <v xml:space="preserve"> </v>
      </c>
      <c r="F84" s="197"/>
      <c r="G84" s="197"/>
      <c r="H84" s="197"/>
      <c r="I84" s="197"/>
      <c r="J84" s="60"/>
      <c r="K84" s="60"/>
      <c r="L84" s="60"/>
      <c r="M84" s="60"/>
      <c r="N84" s="60"/>
      <c r="O84" s="60"/>
      <c r="P84" s="60"/>
      <c r="Q84" s="60"/>
      <c r="R84" s="60"/>
      <c r="S84" s="60"/>
      <c r="T84" s="60"/>
      <c r="U84" s="60"/>
      <c r="V84" s="60"/>
      <c r="W84" s="60"/>
    </row>
    <row r="85" spans="1:23">
      <c r="A85" s="60"/>
      <c r="B85" s="141">
        <f t="shared" si="1"/>
        <v>44770</v>
      </c>
      <c r="C85" s="142" t="str">
        <f>VLOOKUP(B85,'Trip Dreaming'!$K$6:$M$30,3,TRUE)</f>
        <v xml:space="preserve"> </v>
      </c>
      <c r="D85" s="116" t="str">
        <f>IF(VLOOKUP(B85,Accomodations!$B$7:$F$31,5,TRUE)=0," ",VLOOKUP(B85,Accomodations!$B$7:$F$31,5,TRUE))</f>
        <v xml:space="preserve"> </v>
      </c>
      <c r="E85" s="142" t="str">
        <f>IF(Table2[[#This Row],[Location]]=C84," ", "Yes")</f>
        <v xml:space="preserve"> </v>
      </c>
      <c r="F85" s="197"/>
      <c r="G85" s="197"/>
      <c r="H85" s="197"/>
      <c r="I85" s="197"/>
      <c r="J85" s="60"/>
      <c r="K85" s="60"/>
      <c r="L85" s="60"/>
      <c r="M85" s="60"/>
      <c r="N85" s="60"/>
      <c r="O85" s="60"/>
      <c r="P85" s="60"/>
      <c r="Q85" s="60"/>
      <c r="R85" s="60"/>
      <c r="S85" s="60"/>
      <c r="T85" s="60"/>
      <c r="U85" s="60"/>
      <c r="V85" s="60"/>
      <c r="W85" s="60"/>
    </row>
    <row r="86" spans="1:23">
      <c r="A86" s="60"/>
      <c r="B86" s="141">
        <f t="shared" si="1"/>
        <v>44771</v>
      </c>
      <c r="C86" s="142" t="str">
        <f>VLOOKUP(B86,'Trip Dreaming'!$K$6:$M$30,3,TRUE)</f>
        <v xml:space="preserve"> </v>
      </c>
      <c r="D86" s="116" t="str">
        <f>IF(VLOOKUP(B86,Accomodations!$B$7:$F$31,5,TRUE)=0," ",VLOOKUP(B86,Accomodations!$B$7:$F$31,5,TRUE))</f>
        <v xml:space="preserve"> </v>
      </c>
      <c r="E86" s="142" t="str">
        <f>IF(Table2[[#This Row],[Location]]=C85," ", "Yes")</f>
        <v xml:space="preserve"> </v>
      </c>
      <c r="F86" s="197"/>
      <c r="G86" s="197"/>
      <c r="H86" s="197"/>
      <c r="I86" s="197"/>
      <c r="J86" s="60"/>
      <c r="K86" s="60"/>
      <c r="L86" s="60"/>
      <c r="M86" s="60"/>
      <c r="N86" s="60"/>
      <c r="O86" s="60"/>
      <c r="P86" s="60"/>
      <c r="Q86" s="60"/>
      <c r="R86" s="60"/>
      <c r="S86" s="60"/>
      <c r="T86" s="60"/>
      <c r="U86" s="60"/>
      <c r="V86" s="60"/>
      <c r="W86" s="60"/>
    </row>
    <row r="87" spans="1:23">
      <c r="A87" s="60"/>
      <c r="B87" s="141">
        <f t="shared" si="1"/>
        <v>44772</v>
      </c>
      <c r="C87" s="142" t="str">
        <f>VLOOKUP(B87,'Trip Dreaming'!$K$6:$M$30,3,TRUE)</f>
        <v xml:space="preserve"> </v>
      </c>
      <c r="D87" s="116" t="str">
        <f>IF(VLOOKUP(B87,Accomodations!$B$7:$F$31,5,TRUE)=0," ",VLOOKUP(B87,Accomodations!$B$7:$F$31,5,TRUE))</f>
        <v xml:space="preserve"> </v>
      </c>
      <c r="E87" s="142" t="str">
        <f>IF(Table2[[#This Row],[Location]]=C86," ", "Yes")</f>
        <v xml:space="preserve"> </v>
      </c>
      <c r="F87" s="197"/>
      <c r="G87" s="197"/>
      <c r="H87" s="197"/>
      <c r="I87" s="197"/>
      <c r="J87" s="60"/>
      <c r="K87" s="60"/>
      <c r="L87" s="60"/>
      <c r="M87" s="60"/>
      <c r="N87" s="60"/>
      <c r="O87" s="60"/>
      <c r="P87" s="60"/>
      <c r="Q87" s="60"/>
      <c r="R87" s="60"/>
      <c r="S87" s="60"/>
      <c r="T87" s="60"/>
      <c r="U87" s="60"/>
      <c r="V87" s="60"/>
      <c r="W87" s="60"/>
    </row>
    <row r="88" spans="1:23">
      <c r="A88" s="60"/>
      <c r="B88" s="141">
        <f t="shared" si="1"/>
        <v>44773</v>
      </c>
      <c r="C88" s="142" t="str">
        <f>VLOOKUP(B88,'Trip Dreaming'!$K$6:$M$30,3,TRUE)</f>
        <v xml:space="preserve"> </v>
      </c>
      <c r="D88" s="116" t="str">
        <f>IF(VLOOKUP(B88,Accomodations!$B$7:$F$31,5,TRUE)=0," ",VLOOKUP(B88,Accomodations!$B$7:$F$31,5,TRUE))</f>
        <v xml:space="preserve"> </v>
      </c>
      <c r="E88" s="142" t="str">
        <f>IF(Table2[[#This Row],[Location]]=C87," ", "Yes")</f>
        <v xml:space="preserve"> </v>
      </c>
      <c r="F88" s="197"/>
      <c r="G88" s="197"/>
      <c r="H88" s="197"/>
      <c r="I88" s="197"/>
      <c r="J88" s="60"/>
      <c r="K88" s="60"/>
      <c r="L88" s="60"/>
      <c r="M88" s="60"/>
      <c r="N88" s="60"/>
      <c r="O88" s="60"/>
      <c r="P88" s="60"/>
      <c r="Q88" s="60"/>
      <c r="R88" s="60"/>
      <c r="S88" s="60"/>
      <c r="T88" s="60"/>
      <c r="U88" s="60"/>
      <c r="V88" s="60"/>
      <c r="W88" s="60"/>
    </row>
    <row r="89" spans="1:23">
      <c r="A89" s="60"/>
      <c r="B89" s="141">
        <f t="shared" si="1"/>
        <v>44774</v>
      </c>
      <c r="C89" s="142" t="str">
        <f>VLOOKUP(B89,'Trip Dreaming'!$K$6:$M$30,3,TRUE)</f>
        <v xml:space="preserve"> </v>
      </c>
      <c r="D89" s="116" t="str">
        <f>IF(VLOOKUP(B89,Accomodations!$B$7:$F$31,5,TRUE)=0," ",VLOOKUP(B89,Accomodations!$B$7:$F$31,5,TRUE))</f>
        <v xml:space="preserve"> </v>
      </c>
      <c r="E89" s="142" t="str">
        <f>IF(Table2[[#This Row],[Location]]=C88," ", "Yes")</f>
        <v xml:space="preserve"> </v>
      </c>
      <c r="F89" s="197"/>
      <c r="G89" s="197"/>
      <c r="H89" s="197"/>
      <c r="I89" s="197"/>
      <c r="J89" s="60"/>
      <c r="K89" s="60"/>
      <c r="L89" s="60"/>
      <c r="M89" s="60"/>
      <c r="N89" s="60"/>
      <c r="O89" s="60"/>
      <c r="P89" s="60"/>
      <c r="Q89" s="60"/>
      <c r="R89" s="60"/>
      <c r="S89" s="60"/>
      <c r="T89" s="60"/>
      <c r="U89" s="60"/>
      <c r="V89" s="60"/>
      <c r="W89" s="60"/>
    </row>
    <row r="90" spans="1:23">
      <c r="A90" s="60"/>
      <c r="B90" s="141">
        <f t="shared" si="1"/>
        <v>44775</v>
      </c>
      <c r="C90" s="142" t="str">
        <f>VLOOKUP(B90,'Trip Dreaming'!$K$6:$M$30,3,TRUE)</f>
        <v xml:space="preserve"> </v>
      </c>
      <c r="D90" s="116" t="str">
        <f>IF(VLOOKUP(B90,Accomodations!$B$7:$F$31,5,TRUE)=0," ",VLOOKUP(B90,Accomodations!$B$7:$F$31,5,TRUE))</f>
        <v xml:space="preserve"> </v>
      </c>
      <c r="E90" s="142" t="str">
        <f>IF(Table2[[#This Row],[Location]]=C89," ", "Yes")</f>
        <v xml:space="preserve"> </v>
      </c>
      <c r="F90" s="197"/>
      <c r="G90" s="197"/>
      <c r="H90" s="197"/>
      <c r="I90" s="197"/>
      <c r="J90" s="60"/>
      <c r="K90" s="60"/>
      <c r="L90" s="60"/>
      <c r="M90" s="60"/>
      <c r="N90" s="60"/>
      <c r="O90" s="60"/>
      <c r="P90" s="60"/>
      <c r="Q90" s="60"/>
      <c r="R90" s="60"/>
      <c r="S90" s="60"/>
      <c r="T90" s="60"/>
      <c r="U90" s="60"/>
      <c r="V90" s="60"/>
      <c r="W90" s="60"/>
    </row>
    <row r="91" spans="1:23">
      <c r="A91" s="60"/>
      <c r="B91" s="141">
        <f t="shared" si="1"/>
        <v>44776</v>
      </c>
      <c r="C91" s="142" t="str">
        <f>VLOOKUP(B91,'Trip Dreaming'!$K$6:$M$30,3,TRUE)</f>
        <v xml:space="preserve"> </v>
      </c>
      <c r="D91" s="116" t="str">
        <f>IF(VLOOKUP(B91,Accomodations!$B$7:$F$31,5,TRUE)=0," ",VLOOKUP(B91,Accomodations!$B$7:$F$31,5,TRUE))</f>
        <v xml:space="preserve"> </v>
      </c>
      <c r="E91" s="142" t="str">
        <f>IF(Table2[[#This Row],[Location]]=C90," ", "Yes")</f>
        <v xml:space="preserve"> </v>
      </c>
      <c r="F91" s="197"/>
      <c r="G91" s="197"/>
      <c r="H91" s="197"/>
      <c r="I91" s="197"/>
      <c r="J91" s="60"/>
      <c r="K91" s="60"/>
      <c r="L91" s="60"/>
      <c r="M91" s="60"/>
      <c r="N91" s="60"/>
      <c r="O91" s="60"/>
      <c r="P91" s="60"/>
      <c r="Q91" s="60"/>
      <c r="R91" s="60"/>
      <c r="S91" s="60"/>
      <c r="T91" s="60"/>
      <c r="U91" s="60"/>
      <c r="V91" s="60"/>
      <c r="W91" s="60"/>
    </row>
    <row r="92" spans="1:23">
      <c r="A92" s="60"/>
      <c r="B92" s="141">
        <f t="shared" si="1"/>
        <v>44777</v>
      </c>
      <c r="C92" s="142" t="str">
        <f>VLOOKUP(B92,'Trip Dreaming'!$K$6:$M$30,3,TRUE)</f>
        <v xml:space="preserve"> </v>
      </c>
      <c r="D92" s="116" t="str">
        <f>IF(VLOOKUP(B92,Accomodations!$B$7:$F$31,5,TRUE)=0," ",VLOOKUP(B92,Accomodations!$B$7:$F$31,5,TRUE))</f>
        <v xml:space="preserve"> </v>
      </c>
      <c r="E92" s="142" t="str">
        <f>IF(Table2[[#This Row],[Location]]=C91," ", "Yes")</f>
        <v xml:space="preserve"> </v>
      </c>
      <c r="F92" s="197"/>
      <c r="G92" s="197"/>
      <c r="H92" s="197"/>
      <c r="I92" s="197"/>
      <c r="J92" s="60"/>
      <c r="K92" s="60"/>
      <c r="L92" s="60"/>
      <c r="M92" s="60"/>
      <c r="N92" s="60"/>
      <c r="O92" s="60"/>
      <c r="P92" s="60"/>
      <c r="Q92" s="60"/>
      <c r="R92" s="60"/>
      <c r="S92" s="60"/>
      <c r="T92" s="60"/>
      <c r="U92" s="60"/>
      <c r="V92" s="60"/>
      <c r="W92" s="60"/>
    </row>
    <row r="93" spans="1:23">
      <c r="A93" s="60"/>
      <c r="B93" s="141">
        <f t="shared" si="1"/>
        <v>44778</v>
      </c>
      <c r="C93" s="142" t="str">
        <f>VLOOKUP(B93,'Trip Dreaming'!$K$6:$M$30,3,TRUE)</f>
        <v xml:space="preserve"> </v>
      </c>
      <c r="D93" s="116" t="str">
        <f>IF(VLOOKUP(B93,Accomodations!$B$7:$F$31,5,TRUE)=0," ",VLOOKUP(B93,Accomodations!$B$7:$F$31,5,TRUE))</f>
        <v xml:space="preserve"> </v>
      </c>
      <c r="E93" s="142" t="str">
        <f>IF(Table2[[#This Row],[Location]]=C92," ", "Yes")</f>
        <v xml:space="preserve"> </v>
      </c>
      <c r="F93" s="197"/>
      <c r="G93" s="197"/>
      <c r="H93" s="197"/>
      <c r="I93" s="197"/>
      <c r="J93" s="60"/>
      <c r="K93" s="60"/>
      <c r="L93" s="60"/>
      <c r="M93" s="60"/>
      <c r="N93" s="60"/>
      <c r="O93" s="60"/>
      <c r="P93" s="60"/>
      <c r="Q93" s="60"/>
      <c r="R93" s="60"/>
      <c r="S93" s="60"/>
      <c r="T93" s="60"/>
      <c r="U93" s="60"/>
      <c r="V93" s="60"/>
      <c r="W93" s="60"/>
    </row>
    <row r="94" spans="1:23">
      <c r="A94" s="60"/>
      <c r="B94" s="141">
        <f t="shared" si="1"/>
        <v>44779</v>
      </c>
      <c r="C94" s="142" t="str">
        <f>VLOOKUP(B94,'Trip Dreaming'!$K$6:$M$30,3,TRUE)</f>
        <v xml:space="preserve"> </v>
      </c>
      <c r="D94" s="116" t="str">
        <f>IF(VLOOKUP(B94,Accomodations!$B$7:$F$31,5,TRUE)=0," ",VLOOKUP(B94,Accomodations!$B$7:$F$31,5,TRUE))</f>
        <v xml:space="preserve"> </v>
      </c>
      <c r="E94" s="142" t="str">
        <f>IF(Table2[[#This Row],[Location]]=C93," ", "Yes")</f>
        <v xml:space="preserve"> </v>
      </c>
      <c r="F94" s="197"/>
      <c r="G94" s="197"/>
      <c r="H94" s="197"/>
      <c r="I94" s="197"/>
      <c r="J94" s="60"/>
      <c r="K94" s="60"/>
      <c r="L94" s="60"/>
      <c r="M94" s="60"/>
      <c r="N94" s="60"/>
      <c r="O94" s="60"/>
      <c r="P94" s="60"/>
      <c r="Q94" s="60"/>
      <c r="R94" s="60"/>
      <c r="S94" s="60"/>
      <c r="T94" s="60"/>
      <c r="U94" s="60"/>
      <c r="V94" s="60"/>
      <c r="W94" s="60"/>
    </row>
    <row r="95" spans="1:23">
      <c r="A95" s="60"/>
      <c r="B95" s="141">
        <f t="shared" si="1"/>
        <v>44780</v>
      </c>
      <c r="C95" s="142" t="str">
        <f>VLOOKUP(B95,'Trip Dreaming'!$K$6:$M$30,3,TRUE)</f>
        <v xml:space="preserve"> </v>
      </c>
      <c r="D95" s="116" t="str">
        <f>IF(VLOOKUP(B95,Accomodations!$B$7:$F$31,5,TRUE)=0," ",VLOOKUP(B95,Accomodations!$B$7:$F$31,5,TRUE))</f>
        <v xml:space="preserve"> </v>
      </c>
      <c r="E95" s="142" t="str">
        <f>IF(Table2[[#This Row],[Location]]=C94," ", "Yes")</f>
        <v xml:space="preserve"> </v>
      </c>
      <c r="F95" s="197"/>
      <c r="G95" s="197"/>
      <c r="H95" s="197"/>
      <c r="I95" s="197"/>
      <c r="J95" s="60"/>
      <c r="K95" s="60"/>
      <c r="L95" s="60"/>
      <c r="M95" s="60"/>
      <c r="N95" s="60"/>
      <c r="O95" s="60"/>
      <c r="P95" s="60"/>
      <c r="Q95" s="60"/>
      <c r="R95" s="60"/>
      <c r="S95" s="60"/>
      <c r="T95" s="60"/>
      <c r="U95" s="60"/>
      <c r="V95" s="60"/>
      <c r="W95" s="60"/>
    </row>
    <row r="96" spans="1:23">
      <c r="A96" s="60"/>
      <c r="B96" s="141">
        <f t="shared" si="1"/>
        <v>44781</v>
      </c>
      <c r="C96" s="142" t="str">
        <f>VLOOKUP(B96,'Trip Dreaming'!$K$6:$M$30,3,TRUE)</f>
        <v xml:space="preserve"> </v>
      </c>
      <c r="D96" s="116" t="str">
        <f>IF(VLOOKUP(B96,Accomodations!$B$7:$F$31,5,TRUE)=0," ",VLOOKUP(B96,Accomodations!$B$7:$F$31,5,TRUE))</f>
        <v xml:space="preserve"> </v>
      </c>
      <c r="E96" s="142" t="str">
        <f>IF(Table2[[#This Row],[Location]]=C95," ", "Yes")</f>
        <v xml:space="preserve"> </v>
      </c>
      <c r="F96" s="197"/>
      <c r="G96" s="197"/>
      <c r="H96" s="197"/>
      <c r="I96" s="197"/>
      <c r="J96" s="60"/>
      <c r="K96" s="60"/>
      <c r="L96" s="60"/>
      <c r="M96" s="60"/>
      <c r="N96" s="60"/>
      <c r="O96" s="60"/>
      <c r="P96" s="60"/>
      <c r="Q96" s="60"/>
      <c r="R96" s="60"/>
      <c r="S96" s="60"/>
      <c r="T96" s="60"/>
      <c r="U96" s="60"/>
      <c r="V96" s="60"/>
      <c r="W96" s="60"/>
    </row>
    <row r="97" spans="1:23">
      <c r="A97" s="60"/>
      <c r="B97" s="141">
        <f t="shared" si="1"/>
        <v>44782</v>
      </c>
      <c r="C97" s="142" t="str">
        <f>VLOOKUP(B97,'Trip Dreaming'!$K$6:$M$30,3,TRUE)</f>
        <v xml:space="preserve"> </v>
      </c>
      <c r="D97" s="116" t="str">
        <f>IF(VLOOKUP(B97,Accomodations!$B$7:$F$31,5,TRUE)=0," ",VLOOKUP(B97,Accomodations!$B$7:$F$31,5,TRUE))</f>
        <v xml:space="preserve"> </v>
      </c>
      <c r="E97" s="142" t="str">
        <f>IF(Table2[[#This Row],[Location]]=C96," ", "Yes")</f>
        <v xml:space="preserve"> </v>
      </c>
      <c r="F97" s="197"/>
      <c r="G97" s="197"/>
      <c r="H97" s="197"/>
      <c r="I97" s="197"/>
      <c r="J97" s="60"/>
      <c r="K97" s="60"/>
      <c r="L97" s="60"/>
      <c r="M97" s="60"/>
      <c r="N97" s="60"/>
      <c r="O97" s="60"/>
      <c r="P97" s="60"/>
      <c r="Q97" s="60"/>
      <c r="R97" s="60"/>
      <c r="S97" s="60"/>
      <c r="T97" s="60"/>
      <c r="U97" s="60"/>
      <c r="V97" s="60"/>
      <c r="W97" s="60"/>
    </row>
    <row r="98" spans="1:23">
      <c r="A98" s="60"/>
      <c r="B98" s="141">
        <f t="shared" si="1"/>
        <v>44783</v>
      </c>
      <c r="C98" s="142" t="str">
        <f>VLOOKUP(B98,'Trip Dreaming'!$K$6:$M$30,3,TRUE)</f>
        <v xml:space="preserve"> </v>
      </c>
      <c r="D98" s="116" t="str">
        <f>IF(VLOOKUP(B98,Accomodations!$B$7:$F$31,5,TRUE)=0," ",VLOOKUP(B98,Accomodations!$B$7:$F$31,5,TRUE))</f>
        <v xml:space="preserve"> </v>
      </c>
      <c r="E98" s="142" t="str">
        <f>IF(Table2[[#This Row],[Location]]=C97," ", "Yes")</f>
        <v xml:space="preserve"> </v>
      </c>
      <c r="F98" s="197"/>
      <c r="G98" s="197"/>
      <c r="H98" s="197"/>
      <c r="I98" s="197"/>
      <c r="J98" s="60"/>
      <c r="K98" s="60"/>
      <c r="L98" s="60"/>
      <c r="M98" s="60"/>
      <c r="N98" s="60"/>
      <c r="O98" s="60"/>
      <c r="P98" s="60"/>
      <c r="Q98" s="60"/>
      <c r="R98" s="60"/>
      <c r="S98" s="60"/>
      <c r="T98" s="60"/>
      <c r="U98" s="60"/>
      <c r="V98" s="60"/>
      <c r="W98" s="60"/>
    </row>
    <row r="99" spans="1:23">
      <c r="A99" s="60"/>
      <c r="B99" s="141">
        <f t="shared" si="1"/>
        <v>44784</v>
      </c>
      <c r="C99" s="142" t="str">
        <f>VLOOKUP(B99,'Trip Dreaming'!$K$6:$M$30,3,TRUE)</f>
        <v xml:space="preserve"> </v>
      </c>
      <c r="D99" s="116" t="str">
        <f>IF(VLOOKUP(B99,Accomodations!$B$7:$F$31,5,TRUE)=0," ",VLOOKUP(B99,Accomodations!$B$7:$F$31,5,TRUE))</f>
        <v xml:space="preserve"> </v>
      </c>
      <c r="E99" s="142" t="str">
        <f>IF(Table2[[#This Row],[Location]]=C98," ", "Yes")</f>
        <v xml:space="preserve"> </v>
      </c>
      <c r="F99" s="197"/>
      <c r="G99" s="197"/>
      <c r="H99" s="197"/>
      <c r="I99" s="197"/>
      <c r="J99" s="60"/>
      <c r="K99" s="60"/>
      <c r="L99" s="60"/>
      <c r="M99" s="60"/>
      <c r="N99" s="60"/>
      <c r="O99" s="60"/>
      <c r="P99" s="60"/>
      <c r="Q99" s="60"/>
      <c r="R99" s="60"/>
      <c r="S99" s="60"/>
      <c r="T99" s="60"/>
      <c r="U99" s="60"/>
      <c r="V99" s="60"/>
      <c r="W99" s="60"/>
    </row>
    <row r="100" spans="1:23">
      <c r="A100" s="60"/>
      <c r="B100" s="141">
        <f t="shared" si="1"/>
        <v>44785</v>
      </c>
      <c r="C100" s="142" t="str">
        <f>VLOOKUP(B100,'Trip Dreaming'!$K$6:$M$30,3,TRUE)</f>
        <v xml:space="preserve"> </v>
      </c>
      <c r="D100" s="116" t="str">
        <f>IF(VLOOKUP(B100,Accomodations!$B$7:$F$31,5,TRUE)=0," ",VLOOKUP(B100,Accomodations!$B$7:$F$31,5,TRUE))</f>
        <v xml:space="preserve"> </v>
      </c>
      <c r="E100" s="142" t="str">
        <f>IF(Table2[[#This Row],[Location]]=C99," ", "Yes")</f>
        <v xml:space="preserve"> </v>
      </c>
      <c r="F100" s="197"/>
      <c r="G100" s="197"/>
      <c r="H100" s="197"/>
      <c r="I100" s="197"/>
      <c r="J100" s="60"/>
      <c r="K100" s="60"/>
      <c r="L100" s="60"/>
      <c r="M100" s="60"/>
      <c r="N100" s="60"/>
      <c r="O100" s="60"/>
      <c r="P100" s="60"/>
      <c r="Q100" s="60"/>
      <c r="R100" s="60"/>
      <c r="S100" s="60"/>
      <c r="T100" s="60"/>
      <c r="U100" s="60"/>
      <c r="V100" s="60"/>
      <c r="W100" s="60"/>
    </row>
    <row r="101" spans="1:23">
      <c r="A101" s="60"/>
      <c r="B101" s="141">
        <f t="shared" si="1"/>
        <v>44786</v>
      </c>
      <c r="C101" s="142" t="str">
        <f>VLOOKUP(B101,'Trip Dreaming'!$K$6:$M$30,3,TRUE)</f>
        <v xml:space="preserve"> </v>
      </c>
      <c r="D101" s="116" t="str">
        <f>IF(VLOOKUP(B101,Accomodations!$B$7:$F$31,5,TRUE)=0," ",VLOOKUP(B101,Accomodations!$B$7:$F$31,5,TRUE))</f>
        <v xml:space="preserve"> </v>
      </c>
      <c r="E101" s="142" t="str">
        <f>IF(Table2[[#This Row],[Location]]=C100," ", "Yes")</f>
        <v xml:space="preserve"> </v>
      </c>
      <c r="F101" s="197"/>
      <c r="G101" s="197"/>
      <c r="H101" s="197"/>
      <c r="I101" s="197"/>
      <c r="J101" s="60"/>
      <c r="K101" s="60"/>
      <c r="L101" s="60"/>
      <c r="M101" s="60"/>
      <c r="N101" s="60"/>
      <c r="O101" s="60"/>
      <c r="P101" s="60"/>
      <c r="Q101" s="60"/>
      <c r="R101" s="60"/>
      <c r="S101" s="60"/>
      <c r="T101" s="60"/>
      <c r="U101" s="60"/>
      <c r="V101" s="60"/>
      <c r="W101" s="60"/>
    </row>
    <row r="102" spans="1:23">
      <c r="A102" s="60"/>
      <c r="B102" s="141">
        <f t="shared" si="1"/>
        <v>44787</v>
      </c>
      <c r="C102" s="142" t="str">
        <f>VLOOKUP(B102,'Trip Dreaming'!$K$6:$M$30,3,TRUE)</f>
        <v xml:space="preserve"> </v>
      </c>
      <c r="D102" s="116" t="str">
        <f>IF(VLOOKUP(B102,Accomodations!$B$7:$F$31,5,TRUE)=0," ",VLOOKUP(B102,Accomodations!$B$7:$F$31,5,TRUE))</f>
        <v xml:space="preserve"> </v>
      </c>
      <c r="E102" s="142" t="str">
        <f>IF(Table2[[#This Row],[Location]]=C101," ", "Yes")</f>
        <v xml:space="preserve"> </v>
      </c>
      <c r="F102" s="197"/>
      <c r="G102" s="197"/>
      <c r="H102" s="197"/>
      <c r="I102" s="197"/>
      <c r="J102" s="60"/>
      <c r="K102" s="60"/>
      <c r="L102" s="60"/>
      <c r="M102" s="60"/>
      <c r="N102" s="60"/>
      <c r="O102" s="60"/>
      <c r="P102" s="60"/>
      <c r="Q102" s="60"/>
      <c r="R102" s="60"/>
      <c r="S102" s="60"/>
      <c r="T102" s="60"/>
      <c r="U102" s="60"/>
      <c r="V102" s="60"/>
      <c r="W102" s="60"/>
    </row>
    <row r="103" spans="1:23">
      <c r="A103" s="60"/>
      <c r="B103" s="141">
        <f t="shared" si="1"/>
        <v>44788</v>
      </c>
      <c r="C103" s="142" t="str">
        <f>VLOOKUP(B103,'Trip Dreaming'!$K$6:$M$30,3,TRUE)</f>
        <v xml:space="preserve"> </v>
      </c>
      <c r="D103" s="116" t="str">
        <f>IF(VLOOKUP(B103,Accomodations!$B$7:$F$31,5,TRUE)=0," ",VLOOKUP(B103,Accomodations!$B$7:$F$31,5,TRUE))</f>
        <v xml:space="preserve"> </v>
      </c>
      <c r="E103" s="142" t="str">
        <f>IF(Table2[[#This Row],[Location]]=C102," ", "Yes")</f>
        <v xml:space="preserve"> </v>
      </c>
      <c r="F103" s="197"/>
      <c r="G103" s="197"/>
      <c r="H103" s="197"/>
      <c r="I103" s="197"/>
      <c r="J103" s="60"/>
      <c r="K103" s="60"/>
      <c r="L103" s="60"/>
      <c r="M103" s="60"/>
      <c r="N103" s="60"/>
      <c r="O103" s="60"/>
      <c r="P103" s="60"/>
      <c r="Q103" s="60"/>
      <c r="R103" s="60"/>
      <c r="S103" s="60"/>
      <c r="T103" s="60"/>
      <c r="U103" s="60"/>
      <c r="V103" s="60"/>
      <c r="W103" s="60"/>
    </row>
    <row r="104" spans="1:23">
      <c r="A104" s="60"/>
      <c r="B104" s="141">
        <f t="shared" si="1"/>
        <v>44789</v>
      </c>
      <c r="C104" s="142" t="str">
        <f>VLOOKUP(B104,'Trip Dreaming'!$K$6:$M$30,3,TRUE)</f>
        <v xml:space="preserve"> </v>
      </c>
      <c r="D104" s="116" t="str">
        <f>IF(VLOOKUP(B104,Accomodations!$B$7:$F$31,5,TRUE)=0," ",VLOOKUP(B104,Accomodations!$B$7:$F$31,5,TRUE))</f>
        <v xml:space="preserve"> </v>
      </c>
      <c r="E104" s="142" t="str">
        <f>IF(Table2[[#This Row],[Location]]=C103," ", "Yes")</f>
        <v xml:space="preserve"> </v>
      </c>
      <c r="F104" s="197"/>
      <c r="G104" s="197"/>
      <c r="H104" s="197"/>
      <c r="I104" s="197"/>
      <c r="J104" s="60"/>
      <c r="K104" s="60"/>
      <c r="L104" s="60"/>
      <c r="M104" s="60"/>
      <c r="N104" s="60"/>
      <c r="O104" s="60"/>
      <c r="P104" s="60"/>
      <c r="Q104" s="60"/>
      <c r="R104" s="60"/>
      <c r="S104" s="60"/>
      <c r="T104" s="60"/>
      <c r="U104" s="60"/>
      <c r="V104" s="60"/>
      <c r="W104" s="60"/>
    </row>
    <row r="105" spans="1:23">
      <c r="A105" s="60"/>
      <c r="B105" s="141">
        <f t="shared" si="1"/>
        <v>44790</v>
      </c>
      <c r="C105" s="142" t="str">
        <f>VLOOKUP(B105,'Trip Dreaming'!$K$6:$M$30,3,TRUE)</f>
        <v xml:space="preserve"> </v>
      </c>
      <c r="D105" s="116" t="str">
        <f>IF(VLOOKUP(B105,Accomodations!$B$7:$F$31,5,TRUE)=0," ",VLOOKUP(B105,Accomodations!$B$7:$F$31,5,TRUE))</f>
        <v xml:space="preserve"> </v>
      </c>
      <c r="E105" s="142" t="str">
        <f>IF(Table2[[#This Row],[Location]]=C104," ", "Yes")</f>
        <v xml:space="preserve"> </v>
      </c>
      <c r="F105" s="197"/>
      <c r="G105" s="197"/>
      <c r="H105" s="197"/>
      <c r="I105" s="197"/>
      <c r="J105" s="60"/>
      <c r="K105" s="60"/>
      <c r="L105" s="60"/>
      <c r="M105" s="60"/>
      <c r="N105" s="60"/>
      <c r="O105" s="60"/>
      <c r="P105" s="60"/>
      <c r="Q105" s="60"/>
      <c r="R105" s="60"/>
      <c r="S105" s="60"/>
      <c r="T105" s="60"/>
      <c r="U105" s="60"/>
      <c r="V105" s="60"/>
      <c r="W105" s="60"/>
    </row>
    <row r="106" spans="1:23">
      <c r="A106" s="60"/>
      <c r="B106" s="141">
        <f t="shared" si="1"/>
        <v>44791</v>
      </c>
      <c r="C106" s="142" t="str">
        <f>VLOOKUP(B106,'Trip Dreaming'!$K$6:$M$30,3,TRUE)</f>
        <v xml:space="preserve"> </v>
      </c>
      <c r="D106" s="116" t="str">
        <f>IF(VLOOKUP(B106,Accomodations!$B$7:$F$31,5,TRUE)=0," ",VLOOKUP(B106,Accomodations!$B$7:$F$31,5,TRUE))</f>
        <v xml:space="preserve"> </v>
      </c>
      <c r="E106" s="142" t="str">
        <f>IF(Table2[[#This Row],[Location]]=C105," ", "Yes")</f>
        <v xml:space="preserve"> </v>
      </c>
      <c r="F106" s="197"/>
      <c r="G106" s="197"/>
      <c r="H106" s="197"/>
      <c r="I106" s="197"/>
      <c r="J106" s="60"/>
      <c r="K106" s="60"/>
      <c r="L106" s="60"/>
      <c r="M106" s="60"/>
      <c r="N106" s="60"/>
      <c r="O106" s="60"/>
      <c r="P106" s="60"/>
      <c r="Q106" s="60"/>
      <c r="R106" s="60"/>
      <c r="S106" s="60"/>
      <c r="T106" s="60"/>
      <c r="U106" s="60"/>
      <c r="V106" s="60"/>
      <c r="W106" s="60"/>
    </row>
    <row r="107" spans="1:23">
      <c r="A107" s="60"/>
      <c r="B107" s="141">
        <f t="shared" si="1"/>
        <v>44792</v>
      </c>
      <c r="C107" s="142" t="str">
        <f>VLOOKUP(B107,'Trip Dreaming'!$K$6:$M$30,3,TRUE)</f>
        <v xml:space="preserve"> </v>
      </c>
      <c r="D107" s="116" t="str">
        <f>IF(VLOOKUP(B107,Accomodations!$B$7:$F$31,5,TRUE)=0," ",VLOOKUP(B107,Accomodations!$B$7:$F$31,5,TRUE))</f>
        <v xml:space="preserve"> </v>
      </c>
      <c r="E107" s="142" t="str">
        <f>IF(Table2[[#This Row],[Location]]=C106," ", "Yes")</f>
        <v xml:space="preserve"> </v>
      </c>
      <c r="F107" s="197"/>
      <c r="G107" s="197"/>
      <c r="H107" s="197"/>
      <c r="I107" s="197"/>
      <c r="J107" s="60"/>
      <c r="K107" s="60"/>
      <c r="L107" s="60"/>
      <c r="M107" s="60"/>
      <c r="N107" s="60"/>
      <c r="O107" s="60"/>
      <c r="P107" s="60"/>
      <c r="Q107" s="60"/>
      <c r="R107" s="60"/>
      <c r="S107" s="60"/>
      <c r="T107" s="60"/>
      <c r="U107" s="60"/>
      <c r="V107" s="60"/>
      <c r="W107" s="60"/>
    </row>
    <row r="108" spans="1:23">
      <c r="A108" s="60"/>
      <c r="B108" s="141">
        <f t="shared" si="1"/>
        <v>44793</v>
      </c>
      <c r="C108" s="142" t="str">
        <f>VLOOKUP(B108,'Trip Dreaming'!$K$6:$M$30,3,TRUE)</f>
        <v xml:space="preserve"> </v>
      </c>
      <c r="D108" s="116" t="str">
        <f>IF(VLOOKUP(B108,Accomodations!$B$7:$F$31,5,TRUE)=0," ",VLOOKUP(B108,Accomodations!$B$7:$F$31,5,TRUE))</f>
        <v xml:space="preserve"> </v>
      </c>
      <c r="E108" s="142" t="str">
        <f>IF(Table2[[#This Row],[Location]]=C107," ", "Yes")</f>
        <v xml:space="preserve"> </v>
      </c>
      <c r="F108" s="197"/>
      <c r="G108" s="197"/>
      <c r="H108" s="199"/>
      <c r="I108" s="199"/>
      <c r="J108" s="60"/>
      <c r="K108" s="60"/>
      <c r="L108" s="60"/>
      <c r="M108" s="60"/>
      <c r="N108" s="60"/>
      <c r="O108" s="60"/>
      <c r="P108" s="60"/>
      <c r="Q108" s="60"/>
      <c r="R108" s="60"/>
      <c r="S108" s="60"/>
      <c r="T108" s="60"/>
      <c r="U108" s="60"/>
      <c r="V108" s="60"/>
      <c r="W108" s="60"/>
    </row>
    <row r="109" spans="1:23">
      <c r="A109" s="60"/>
      <c r="B109" s="60"/>
      <c r="C109" s="60"/>
      <c r="D109" s="60"/>
      <c r="E109" s="60"/>
      <c r="F109" s="60"/>
      <c r="G109" s="60"/>
      <c r="H109" s="60"/>
      <c r="I109" s="60"/>
      <c r="J109" s="60"/>
      <c r="K109" s="60"/>
      <c r="L109" s="60"/>
      <c r="M109" s="60"/>
      <c r="N109" s="60"/>
      <c r="O109" s="60"/>
      <c r="P109" s="60"/>
      <c r="Q109" s="60"/>
      <c r="R109" s="60"/>
      <c r="S109" s="60"/>
      <c r="T109" s="60"/>
      <c r="U109" s="60"/>
      <c r="V109" s="60"/>
      <c r="W109" s="60"/>
    </row>
    <row r="110" spans="1:23">
      <c r="A110" s="60"/>
      <c r="B110" s="60"/>
      <c r="C110" s="60"/>
      <c r="D110" s="60"/>
      <c r="E110" s="60"/>
      <c r="F110" s="60"/>
      <c r="G110" s="60"/>
      <c r="H110" s="60"/>
      <c r="I110" s="60"/>
      <c r="J110" s="60"/>
      <c r="K110" s="60"/>
      <c r="L110" s="60"/>
      <c r="M110" s="60"/>
      <c r="N110" s="60"/>
      <c r="O110" s="60"/>
      <c r="P110" s="60"/>
      <c r="Q110" s="60"/>
      <c r="R110" s="60"/>
      <c r="S110" s="60"/>
      <c r="T110" s="60"/>
      <c r="U110" s="60"/>
      <c r="V110" s="60"/>
      <c r="W110" s="60"/>
    </row>
    <row r="111" spans="1:23">
      <c r="A111" s="60"/>
      <c r="B111" s="60"/>
      <c r="C111" s="60"/>
      <c r="D111" s="60"/>
      <c r="E111" s="60"/>
      <c r="F111" s="60"/>
      <c r="G111" s="60"/>
      <c r="H111" s="60"/>
      <c r="I111" s="60"/>
      <c r="J111" s="60"/>
      <c r="K111" s="60"/>
      <c r="L111" s="60"/>
      <c r="M111" s="60"/>
      <c r="N111" s="60"/>
      <c r="O111" s="60"/>
      <c r="P111" s="60"/>
      <c r="Q111" s="60"/>
      <c r="R111" s="60"/>
      <c r="S111" s="60"/>
      <c r="T111" s="60"/>
      <c r="U111" s="60"/>
      <c r="V111" s="60"/>
      <c r="W111" s="60"/>
    </row>
  </sheetData>
  <sheetProtection algorithmName="SHA-512" hashValue="d3Zs9hPDj74C4Y79SFngcyHyrAjmr9+rW92yVu8PuXIc10Fu6Ryis71RVsshokQRKh27Gh0zXu8TmY7tFqfZWQ==" saltValue="xmNPgHtEhSSTSfsjsRVp/g==" spinCount="100000" sheet="1"/>
  <mergeCells count="2">
    <mergeCell ref="B3:J3"/>
    <mergeCell ref="B2:J2"/>
  </mergeCells>
  <phoneticPr fontId="8" type="noConversion"/>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8D8B-7182-4853-817C-998899DB5304}">
  <sheetPr codeName="Sheet31">
    <tabColor theme="5"/>
  </sheetPr>
  <dimension ref="A2:H21"/>
  <sheetViews>
    <sheetView workbookViewId="0">
      <selection activeCell="D7" sqref="D7"/>
    </sheetView>
  </sheetViews>
  <sheetFormatPr defaultRowHeight="14.45"/>
  <cols>
    <col min="2" max="8" width="26.140625" customWidth="1"/>
  </cols>
  <sheetData>
    <row r="2" spans="1:8" ht="15" thickBot="1">
      <c r="B2">
        <f>MONTH(DreamStartDate)</f>
        <v>5</v>
      </c>
    </row>
    <row r="3" spans="1:8" ht="20.100000000000001" thickBot="1">
      <c r="B3" s="62" t="s">
        <v>53</v>
      </c>
      <c r="C3" s="63" t="s">
        <v>54</v>
      </c>
      <c r="D3" s="63" t="s">
        <v>55</v>
      </c>
      <c r="E3" s="63" t="s">
        <v>56</v>
      </c>
      <c r="F3" s="63" t="s">
        <v>57</v>
      </c>
      <c r="G3" s="63" t="s">
        <v>48</v>
      </c>
      <c r="H3" s="64" t="s">
        <v>58</v>
      </c>
    </row>
    <row r="4" spans="1:8">
      <c r="A4" s="283" t="s">
        <v>116</v>
      </c>
      <c r="B4" s="65" cm="1">
        <f t="array" ref="B4:H9">IF(MONTH(DATE(YEAR(DreamStartDate),MONTH(DreamStartDate),1))-
MONTH(DATE(YEAR(DreamStartDate),MONTH(DreamStartDate),1)-
(WEEKDAY(DATE(YEAR(DreamStartDate),MONTH(DreamStartDate),1))-1)+
{0;1;2;3;4;5}*7+{1,2,3,4,5,6,7}-1),"",DATE(YEAR(DreamStartDate),
MONTH(DreamStartDate),1)-(WEEKDAY(DATE(YEAR(DreamStartDate),
MONTH(DreamStartDate),1))-1)+{0;1;2;3;4;5}*7+{1,2,3,4,5,6,7}-1)</f>
        <v>44682</v>
      </c>
      <c r="C4" s="66">
        <v>44683</v>
      </c>
      <c r="D4" s="66">
        <v>44684</v>
      </c>
      <c r="E4" s="66">
        <v>44685</v>
      </c>
      <c r="F4" s="66">
        <v>44686</v>
      </c>
      <c r="G4" s="66">
        <v>44687</v>
      </c>
      <c r="H4" s="67">
        <v>44688</v>
      </c>
    </row>
    <row r="5" spans="1:8">
      <c r="A5" s="284"/>
      <c r="B5" s="51">
        <v>44689</v>
      </c>
      <c r="C5" s="52">
        <v>44690</v>
      </c>
      <c r="D5" s="52">
        <v>44691</v>
      </c>
      <c r="E5" s="52">
        <v>44692</v>
      </c>
      <c r="F5" s="52">
        <v>44693</v>
      </c>
      <c r="G5" s="52">
        <v>44694</v>
      </c>
      <c r="H5" s="53">
        <v>44695</v>
      </c>
    </row>
    <row r="6" spans="1:8">
      <c r="A6" s="284"/>
      <c r="B6" s="54">
        <v>44696</v>
      </c>
      <c r="C6" s="55">
        <v>44697</v>
      </c>
      <c r="D6" s="55">
        <v>44698</v>
      </c>
      <c r="E6" s="55">
        <v>44699</v>
      </c>
      <c r="F6" s="55">
        <v>44700</v>
      </c>
      <c r="G6" s="55">
        <v>44701</v>
      </c>
      <c r="H6" s="56">
        <v>44702</v>
      </c>
    </row>
    <row r="7" spans="1:8">
      <c r="A7" s="284"/>
      <c r="B7" s="57">
        <v>44703</v>
      </c>
      <c r="C7" s="58">
        <v>44704</v>
      </c>
      <c r="D7" s="58">
        <v>44705</v>
      </c>
      <c r="E7" s="58">
        <v>44706</v>
      </c>
      <c r="F7" s="58">
        <v>44707</v>
      </c>
      <c r="G7" s="58">
        <v>44708</v>
      </c>
      <c r="H7" s="59">
        <v>44709</v>
      </c>
    </row>
    <row r="8" spans="1:8">
      <c r="A8" s="284"/>
      <c r="B8" s="48">
        <v>44710</v>
      </c>
      <c r="C8" s="49">
        <v>44711</v>
      </c>
      <c r="D8" s="49">
        <v>44712</v>
      </c>
      <c r="E8" s="49" t="str">
        <v/>
      </c>
      <c r="F8" s="49" t="str">
        <v/>
      </c>
      <c r="G8" s="49" t="str">
        <v/>
      </c>
      <c r="H8" s="50" t="str">
        <v/>
      </c>
    </row>
    <row r="9" spans="1:8" ht="15" thickBot="1">
      <c r="A9" s="284"/>
      <c r="B9" s="68" t="str">
        <v/>
      </c>
      <c r="C9" s="69" t="str">
        <v/>
      </c>
      <c r="D9" s="69" t="str">
        <v/>
      </c>
      <c r="E9" s="69" t="str">
        <v/>
      </c>
      <c r="F9" s="69" t="str">
        <v/>
      </c>
      <c r="G9" s="69" t="str">
        <v/>
      </c>
      <c r="H9" s="70" t="str">
        <v/>
      </c>
    </row>
    <row r="10" spans="1:8">
      <c r="A10" s="285" t="s">
        <v>117</v>
      </c>
      <c r="B10" s="65" t="str" cm="1">
        <f t="array" ref="B10:H15">IF(MONTH(DATE(YEAR(DreamStartDate),DreamStartMonth+1,1))-
MONTH(DATE(YEAR(DreamStartDate),DreamStartMonth+1,1)-
(WEEKDAY(DATE(YEAR(DreamStartDate),DreamStartMonth+1,1))-1)+
{0;1;2;3;4;5}*7+{1,2,3,4,5,6,7}-1),"",DATE(YEAR(DreamStartDate),
DreamStartMonth+1,1)-(WEEKDAY(DATE(YEAR(DreamStartDate),
DreamStartMonth+1,1))-1)+{0;1;2;3;4;5}*7+{1,2,3,4,5,6,7}-1)</f>
        <v/>
      </c>
      <c r="C10" s="71" t="str">
        <v/>
      </c>
      <c r="D10" s="71" t="str">
        <v/>
      </c>
      <c r="E10" s="71">
        <v>44713</v>
      </c>
      <c r="F10" s="71">
        <v>44714</v>
      </c>
      <c r="G10" s="71">
        <v>44715</v>
      </c>
      <c r="H10" s="72">
        <v>44716</v>
      </c>
    </row>
    <row r="11" spans="1:8">
      <c r="A11" s="286"/>
      <c r="B11" s="73">
        <v>44717</v>
      </c>
      <c r="C11" s="74">
        <v>44718</v>
      </c>
      <c r="D11" s="74">
        <v>44719</v>
      </c>
      <c r="E11" s="74">
        <v>44720</v>
      </c>
      <c r="F11" s="74">
        <v>44721</v>
      </c>
      <c r="G11" s="74">
        <v>44722</v>
      </c>
      <c r="H11" s="75">
        <v>44723</v>
      </c>
    </row>
    <row r="12" spans="1:8">
      <c r="A12" s="286"/>
      <c r="B12" s="76">
        <v>44724</v>
      </c>
      <c r="C12" s="77">
        <v>44725</v>
      </c>
      <c r="D12" s="77">
        <v>44726</v>
      </c>
      <c r="E12" s="77">
        <v>44727</v>
      </c>
      <c r="F12" s="77">
        <v>44728</v>
      </c>
      <c r="G12" s="77">
        <v>44729</v>
      </c>
      <c r="H12" s="78">
        <v>44730</v>
      </c>
    </row>
    <row r="13" spans="1:8">
      <c r="A13" s="286"/>
      <c r="B13" s="79">
        <v>44731</v>
      </c>
      <c r="C13" s="80">
        <v>44732</v>
      </c>
      <c r="D13" s="80">
        <v>44733</v>
      </c>
      <c r="E13" s="80">
        <v>44734</v>
      </c>
      <c r="F13" s="80">
        <v>44735</v>
      </c>
      <c r="G13" s="80">
        <v>44736</v>
      </c>
      <c r="H13" s="81">
        <v>44737</v>
      </c>
    </row>
    <row r="14" spans="1:8">
      <c r="A14" s="286"/>
      <c r="B14" s="82">
        <v>44738</v>
      </c>
      <c r="C14" s="83">
        <v>44739</v>
      </c>
      <c r="D14" s="83">
        <v>44740</v>
      </c>
      <c r="E14" s="83">
        <v>44741</v>
      </c>
      <c r="F14" s="83">
        <v>44742</v>
      </c>
      <c r="G14" s="83" t="str">
        <v/>
      </c>
      <c r="H14" s="84" t="str">
        <v/>
      </c>
    </row>
    <row r="15" spans="1:8" ht="15" thickBot="1">
      <c r="A15" s="287"/>
      <c r="B15" s="85" t="str">
        <v/>
      </c>
      <c r="C15" s="86" t="str">
        <v/>
      </c>
      <c r="D15" s="86" t="str">
        <v/>
      </c>
      <c r="E15" s="86" t="str">
        <v/>
      </c>
      <c r="F15" s="86" t="str">
        <v/>
      </c>
      <c r="G15" s="86" t="str">
        <v/>
      </c>
      <c r="H15" s="87" t="str">
        <v/>
      </c>
    </row>
    <row r="16" spans="1:8">
      <c r="A16" s="281" t="s">
        <v>118</v>
      </c>
      <c r="B16" s="65" t="str" cm="1">
        <f t="array" ref="B16:H21">IF(MONTH(DATE(YEAR(DreamStartDate),DreamStartMonth+2,1))-
MONTH(DATE(YEAR(DreamStartDate),DreamStartMonth+2,1)-
(WEEKDAY(DATE(YEAR(DreamStartDate),DreamStartMonth+2,1))-1)+
{0;1;2;3;4;5}*7+{1,2,3,4,5,6,7}-1),"",DATE(YEAR(DreamStartDate),
DreamStartMonth+2,1)-(WEEKDAY(DATE(YEAR(DreamStartDate),
DreamStartMonth+2,1))-1)+{0;1;2;3;4;5}*7+{1,2,3,4,5,6,7}-1)</f>
        <v/>
      </c>
      <c r="C16" s="88" t="str">
        <v/>
      </c>
      <c r="D16" s="88" t="str">
        <v/>
      </c>
      <c r="E16" s="88" t="str">
        <v/>
      </c>
      <c r="F16" s="88" t="str">
        <v/>
      </c>
      <c r="G16" s="88">
        <v>44743</v>
      </c>
      <c r="H16" s="89">
        <v>44744</v>
      </c>
    </row>
    <row r="17" spans="1:8">
      <c r="A17" s="281"/>
      <c r="B17" s="90">
        <v>44745</v>
      </c>
      <c r="C17" s="91">
        <v>44746</v>
      </c>
      <c r="D17" s="91">
        <v>44747</v>
      </c>
      <c r="E17" s="91">
        <v>44748</v>
      </c>
      <c r="F17" s="91">
        <v>44749</v>
      </c>
      <c r="G17" s="91">
        <v>44750</v>
      </c>
      <c r="H17" s="92">
        <v>44751</v>
      </c>
    </row>
    <row r="18" spans="1:8">
      <c r="A18" s="281"/>
      <c r="B18" s="90">
        <v>44752</v>
      </c>
      <c r="C18" s="91">
        <v>44753</v>
      </c>
      <c r="D18" s="91">
        <v>44754</v>
      </c>
      <c r="E18" s="91">
        <v>44755</v>
      </c>
      <c r="F18" s="91">
        <v>44756</v>
      </c>
      <c r="G18" s="91">
        <v>44757</v>
      </c>
      <c r="H18" s="92">
        <v>44758</v>
      </c>
    </row>
    <row r="19" spans="1:8">
      <c r="A19" s="281"/>
      <c r="B19" s="90">
        <v>44759</v>
      </c>
      <c r="C19" s="91">
        <v>44760</v>
      </c>
      <c r="D19" s="91">
        <v>44761</v>
      </c>
      <c r="E19" s="91">
        <v>44762</v>
      </c>
      <c r="F19" s="91">
        <v>44763</v>
      </c>
      <c r="G19" s="91">
        <v>44764</v>
      </c>
      <c r="H19" s="92">
        <v>44765</v>
      </c>
    </row>
    <row r="20" spans="1:8">
      <c r="A20" s="281"/>
      <c r="B20" s="90">
        <v>44766</v>
      </c>
      <c r="C20" s="91">
        <v>44767</v>
      </c>
      <c r="D20" s="91">
        <v>44768</v>
      </c>
      <c r="E20" s="91">
        <v>44769</v>
      </c>
      <c r="F20" s="91">
        <v>44770</v>
      </c>
      <c r="G20" s="91">
        <v>44771</v>
      </c>
      <c r="H20" s="92">
        <v>44772</v>
      </c>
    </row>
    <row r="21" spans="1:8" ht="15" thickBot="1">
      <c r="A21" s="282"/>
      <c r="B21" s="93">
        <v>44773</v>
      </c>
      <c r="C21" s="94" t="str">
        <v/>
      </c>
      <c r="D21" s="94" t="str">
        <v/>
      </c>
      <c r="E21" s="94" t="str">
        <v/>
      </c>
      <c r="F21" s="94" t="str">
        <v/>
      </c>
      <c r="G21" s="94" t="str">
        <v/>
      </c>
      <c r="H21" s="95" t="str">
        <v/>
      </c>
    </row>
  </sheetData>
  <mergeCells count="3">
    <mergeCell ref="A16:A21"/>
    <mergeCell ref="A4:A9"/>
    <mergeCell ref="A10:A15"/>
  </mergeCells>
  <phoneticPr fontId="8" type="noConversion"/>
  <conditionalFormatting sqref="B4:G4">
    <cfRule type="expression" dxfId="3" priority="4">
      <formula>DAY(B4)&gt;8</formula>
    </cfRule>
  </conditionalFormatting>
  <conditionalFormatting sqref="C10:G10">
    <cfRule type="expression" dxfId="2" priority="3">
      <formula>DAY(C10)&gt;8</formula>
    </cfRule>
  </conditionalFormatting>
  <conditionalFormatting sqref="B10">
    <cfRule type="expression" dxfId="1" priority="2">
      <formula>DAY(B10)&gt;8</formula>
    </cfRule>
  </conditionalFormatting>
  <conditionalFormatting sqref="B16">
    <cfRule type="expression" dxfId="0" priority="1">
      <formula>DAY(B16)&gt;8</formula>
    </cfRule>
  </conditionalFormatting>
  <dataValidations count="4">
    <dataValidation allowBlank="1" showInputMessage="1" showErrorMessage="1" prompt="This row &amp; rows 5, 7, 9, 11 &amp; 13 contain calendar days of the week. If this cell doesn’t contain the number 1, then it is a day from the previous month. Enter notes in cell E13" sqref="B4 B10 B16" xr:uid="{E19945E6-939D-4F8A-9C26-BB6C8EA6FE73}"/>
    <dataValidation allowBlank="1" showInputMessage="1" showErrorMessage="1" prompt="This row &amp; rows 6, 8, 10, 12, &amp; 14 are cells for entering daily notes related to the calendar day in the cell above" sqref="B5 B11" xr:uid="{455F01F2-D309-4283-A72F-92043361F812}"/>
    <dataValidation allowBlank="1" showInputMessage="1" showErrorMessage="1" prompt="Automatically determined weekday" sqref="C3 E3 G3" xr:uid="{6EDFFFD6-B232-45B6-88A7-8E3684EEFAA8}"/>
    <dataValidation allowBlank="1" showInputMessage="1" showErrorMessage="1" prompt="This row contains weekday names for this calendar. This cell contains the starting day of the week. To change week start day, enter a new weekday in cell K3, in this worksheet" sqref="B3 D3 F3 H3" xr:uid="{8FC9DA0C-68F3-421F-BB94-8B722A4E8544}"/>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47969-DCF2-42BB-ADB0-7EDB197D2F99}">
  <sheetPr codeName="Sheet6">
    <tabColor theme="4"/>
  </sheetPr>
  <dimension ref="A1:AB33"/>
  <sheetViews>
    <sheetView showGridLines="0" workbookViewId="0">
      <selection activeCell="F16" sqref="F16"/>
    </sheetView>
  </sheetViews>
  <sheetFormatPr defaultRowHeight="14.45"/>
  <cols>
    <col min="1" max="1" width="3.7109375" customWidth="1"/>
    <col min="2" max="3" width="28" customWidth="1"/>
    <col min="4" max="4" width="21.85546875" customWidth="1"/>
    <col min="5" max="5" width="8.42578125" customWidth="1"/>
    <col min="6" max="6" width="38.140625" customWidth="1"/>
    <col min="7" max="7" width="9.85546875" customWidth="1"/>
    <col min="8" max="8" width="10" customWidth="1"/>
    <col min="9" max="9" width="15.85546875" customWidth="1"/>
    <col min="10" max="10" width="9" customWidth="1"/>
    <col min="11" max="11" width="12" customWidth="1"/>
    <col min="12" max="12" width="11.42578125" customWidth="1"/>
  </cols>
  <sheetData>
    <row r="1" spans="1:28">
      <c r="A1" s="3"/>
      <c r="B1" s="3"/>
      <c r="C1" s="3"/>
      <c r="D1" s="3"/>
      <c r="E1" s="3"/>
      <c r="F1" s="3"/>
      <c r="G1" s="3"/>
      <c r="H1" s="3"/>
      <c r="I1" s="3"/>
      <c r="J1" s="3"/>
      <c r="K1" s="3"/>
      <c r="L1" s="3"/>
      <c r="M1" s="3"/>
      <c r="N1" s="3"/>
      <c r="O1" s="3"/>
      <c r="P1" s="3"/>
      <c r="Q1" s="3"/>
      <c r="R1" s="3"/>
      <c r="S1" s="3"/>
      <c r="T1" s="3"/>
      <c r="U1" s="3"/>
      <c r="V1" s="3"/>
      <c r="W1" s="3"/>
      <c r="X1" s="3"/>
      <c r="Y1" s="3"/>
      <c r="Z1" s="3"/>
      <c r="AA1" s="3"/>
      <c r="AB1" s="3"/>
    </row>
    <row r="2" spans="1:28" ht="21.6" thickBot="1">
      <c r="A2" s="3"/>
      <c r="B2" s="255" t="s">
        <v>119</v>
      </c>
      <c r="C2" s="255"/>
      <c r="D2" s="255"/>
      <c r="E2" s="4"/>
      <c r="F2" s="246" t="s">
        <v>120</v>
      </c>
      <c r="G2" s="4"/>
      <c r="H2" s="4"/>
      <c r="I2" s="3"/>
      <c r="J2" s="246" t="s">
        <v>121</v>
      </c>
      <c r="K2" s="4"/>
      <c r="L2" s="4"/>
      <c r="M2" s="4"/>
      <c r="N2" s="3"/>
      <c r="O2" s="3"/>
      <c r="P2" s="3"/>
      <c r="Q2" s="3"/>
      <c r="R2" s="3"/>
      <c r="S2" s="3"/>
      <c r="T2" s="3"/>
      <c r="U2" s="3"/>
      <c r="V2" s="3"/>
      <c r="W2" s="3"/>
      <c r="X2" s="3"/>
      <c r="Y2" s="3"/>
      <c r="Z2" s="3"/>
      <c r="AA2" s="3"/>
      <c r="AB2" s="3"/>
    </row>
    <row r="3" spans="1:28" ht="15" thickBot="1">
      <c r="A3" s="3"/>
      <c r="B3" s="288" t="s">
        <v>122</v>
      </c>
      <c r="C3" s="288"/>
      <c r="D3" s="288"/>
      <c r="E3" s="288"/>
      <c r="F3" s="121">
        <f>SUM(I7:I31)</f>
        <v>2228</v>
      </c>
      <c r="G3" s="289"/>
      <c r="H3" s="289"/>
      <c r="I3" s="3"/>
      <c r="J3" s="122">
        <f>COUNTIF(J7:J31,"Yes")/COUNTA(F7:F31)</f>
        <v>1</v>
      </c>
      <c r="K3" s="3"/>
      <c r="L3" s="3"/>
      <c r="M3" s="3"/>
      <c r="N3" s="3"/>
      <c r="O3" s="3"/>
      <c r="P3" s="3"/>
      <c r="Q3" s="3"/>
      <c r="R3" s="3"/>
      <c r="S3" s="3"/>
      <c r="T3" s="3"/>
      <c r="U3" s="3"/>
      <c r="V3" s="3"/>
      <c r="W3" s="3"/>
      <c r="X3" s="3"/>
      <c r="Y3" s="3"/>
      <c r="Z3" s="3"/>
      <c r="AA3" s="3"/>
      <c r="AB3" s="3"/>
    </row>
    <row r="4" spans="1:28">
      <c r="A4" s="3"/>
      <c r="B4" s="3" t="s">
        <v>123</v>
      </c>
      <c r="C4" s="3"/>
      <c r="D4" s="3"/>
      <c r="E4" s="3"/>
      <c r="F4" s="3"/>
      <c r="G4" s="3"/>
      <c r="H4" s="3"/>
      <c r="I4" s="3"/>
      <c r="J4" s="3"/>
      <c r="K4" s="3"/>
      <c r="L4" s="3"/>
      <c r="M4" s="3"/>
      <c r="N4" s="3"/>
      <c r="O4" s="3"/>
      <c r="P4" s="3"/>
      <c r="Q4" s="3"/>
      <c r="R4" s="3"/>
      <c r="S4" s="3"/>
      <c r="T4" s="3"/>
      <c r="U4" s="3"/>
      <c r="V4" s="3"/>
      <c r="W4" s="3"/>
      <c r="X4" s="3"/>
      <c r="Y4" s="3"/>
      <c r="Z4" s="3"/>
      <c r="AA4" s="3"/>
      <c r="AB4" s="3"/>
    </row>
    <row r="5" spans="1:28" ht="15" thickBot="1">
      <c r="A5" s="3"/>
      <c r="B5" s="3"/>
      <c r="C5" s="3"/>
      <c r="D5" s="3"/>
      <c r="E5" s="3"/>
      <c r="F5" s="3"/>
      <c r="G5" s="3"/>
      <c r="H5" s="3"/>
      <c r="I5" s="3"/>
      <c r="J5" s="3"/>
      <c r="K5" s="3"/>
      <c r="L5" s="3"/>
      <c r="M5" s="3"/>
      <c r="N5" s="3"/>
      <c r="O5" s="3"/>
      <c r="P5" s="3"/>
      <c r="Q5" s="3"/>
      <c r="R5" s="3"/>
      <c r="S5" s="3"/>
      <c r="T5" s="3"/>
      <c r="U5" s="3"/>
      <c r="V5" s="3"/>
      <c r="W5" s="3"/>
      <c r="X5" s="3"/>
      <c r="Y5" s="3"/>
      <c r="Z5" s="3"/>
      <c r="AA5" s="3"/>
      <c r="AB5" s="3"/>
    </row>
    <row r="6" spans="1:28" ht="15" thickBot="1">
      <c r="A6" s="3"/>
      <c r="B6" s="160" t="s">
        <v>124</v>
      </c>
      <c r="C6" s="161" t="s">
        <v>125</v>
      </c>
      <c r="D6" s="161" t="s">
        <v>18</v>
      </c>
      <c r="E6" s="161" t="s">
        <v>126</v>
      </c>
      <c r="F6" s="161" t="s">
        <v>127</v>
      </c>
      <c r="G6" s="161" t="s">
        <v>128</v>
      </c>
      <c r="H6" s="161" t="s">
        <v>129</v>
      </c>
      <c r="I6" s="161" t="s">
        <v>130</v>
      </c>
      <c r="J6" s="161" t="s">
        <v>131</v>
      </c>
      <c r="K6" s="161" t="s">
        <v>132</v>
      </c>
      <c r="L6" s="162" t="s">
        <v>133</v>
      </c>
      <c r="M6" s="3"/>
      <c r="N6" s="3"/>
      <c r="O6" s="3"/>
      <c r="P6" s="3"/>
      <c r="Q6" s="3"/>
      <c r="R6" s="3"/>
      <c r="S6" s="3"/>
      <c r="T6" s="3"/>
      <c r="U6" s="3"/>
      <c r="V6" s="3"/>
      <c r="W6" s="3"/>
      <c r="X6" s="3"/>
      <c r="Y6" s="3"/>
      <c r="Z6" s="3"/>
      <c r="AA6" s="3"/>
      <c r="AB6" s="3"/>
    </row>
    <row r="7" spans="1:28" ht="15">
      <c r="A7" s="3"/>
      <c r="B7" s="117">
        <f>'Trip Dreaming'!K6</f>
        <v>44694</v>
      </c>
      <c r="C7" s="118">
        <f>'Trip Dreaming'!L6</f>
        <v>44697</v>
      </c>
      <c r="D7" s="14" t="str">
        <f>'Trip Dreaming'!M6</f>
        <v>Zurich, Switzerland</v>
      </c>
      <c r="E7" s="14">
        <f>IF('Trip Dreaming'!N6=0," ",'Trip Dreaming'!N6)</f>
        <v>3</v>
      </c>
      <c r="F7" s="188" t="s">
        <v>134</v>
      </c>
      <c r="G7" s="188"/>
      <c r="H7" s="188"/>
      <c r="I7" s="200">
        <v>220</v>
      </c>
      <c r="J7" s="188" t="s">
        <v>68</v>
      </c>
      <c r="K7" s="188"/>
      <c r="L7" s="189"/>
      <c r="M7" s="3"/>
      <c r="N7" s="3"/>
      <c r="O7" s="3"/>
      <c r="P7" s="3"/>
      <c r="Q7" s="3"/>
      <c r="R7" s="3"/>
      <c r="S7" s="3"/>
      <c r="T7" s="3"/>
      <c r="U7" s="3"/>
      <c r="V7" s="3"/>
      <c r="W7" s="3"/>
      <c r="X7" s="3"/>
      <c r="Y7" s="3"/>
      <c r="Z7" s="3"/>
      <c r="AA7" s="3"/>
      <c r="AB7" s="3"/>
    </row>
    <row r="8" spans="1:28" ht="15">
      <c r="A8" s="3"/>
      <c r="B8" s="117">
        <f>'Trip Dreaming'!K7</f>
        <v>44697</v>
      </c>
      <c r="C8" s="118">
        <f>'Trip Dreaming'!L7</f>
        <v>44700</v>
      </c>
      <c r="D8" s="14" t="str">
        <f>'Trip Dreaming'!M7</f>
        <v>Lucerne, Switzerland</v>
      </c>
      <c r="E8" s="14">
        <f>IF('Trip Dreaming'!N7=0," ",'Trip Dreaming'!N7)</f>
        <v>3</v>
      </c>
      <c r="F8" s="191" t="s">
        <v>135</v>
      </c>
      <c r="G8" s="191"/>
      <c r="H8" s="191"/>
      <c r="I8" s="201">
        <v>185</v>
      </c>
      <c r="J8" s="188" t="s">
        <v>68</v>
      </c>
      <c r="K8" s="188"/>
      <c r="L8" s="192"/>
      <c r="M8" s="3"/>
      <c r="N8" s="3"/>
      <c r="O8" s="3"/>
      <c r="P8" s="3"/>
      <c r="Q8" s="3"/>
      <c r="R8" s="3"/>
      <c r="S8" s="3"/>
      <c r="T8" s="3"/>
      <c r="U8" s="3"/>
      <c r="V8" s="3"/>
      <c r="W8" s="3"/>
      <c r="X8" s="3"/>
      <c r="Y8" s="3"/>
      <c r="Z8" s="3"/>
      <c r="AA8" s="3"/>
      <c r="AB8" s="3"/>
    </row>
    <row r="9" spans="1:28" ht="15">
      <c r="A9" s="3"/>
      <c r="B9" s="117">
        <f>'Trip Dreaming'!K8</f>
        <v>44700</v>
      </c>
      <c r="C9" s="118">
        <f>'Trip Dreaming'!L8</f>
        <v>44704</v>
      </c>
      <c r="D9" s="14" t="str">
        <f>'Trip Dreaming'!M8</f>
        <v>Salzburg, Austria</v>
      </c>
      <c r="E9" s="14">
        <f>IF('Trip Dreaming'!N8=0," ",'Trip Dreaming'!N8)</f>
        <v>4</v>
      </c>
      <c r="F9" s="191" t="s">
        <v>136</v>
      </c>
      <c r="G9" s="191"/>
      <c r="H9" s="191"/>
      <c r="I9" s="201">
        <v>359</v>
      </c>
      <c r="J9" s="188" t="s">
        <v>68</v>
      </c>
      <c r="K9" s="188"/>
      <c r="L9" s="192"/>
      <c r="M9" s="3"/>
      <c r="N9" s="3"/>
      <c r="O9" s="3"/>
      <c r="P9" s="3"/>
      <c r="Q9" s="3"/>
      <c r="R9" s="3"/>
      <c r="S9" s="3"/>
      <c r="T9" s="3"/>
      <c r="U9" s="3"/>
      <c r="V9" s="3"/>
      <c r="W9" s="3"/>
      <c r="X9" s="3"/>
      <c r="Y9" s="3"/>
      <c r="Z9" s="3"/>
      <c r="AA9" s="3"/>
      <c r="AB9" s="3"/>
    </row>
    <row r="10" spans="1:28" ht="15">
      <c r="A10" s="3"/>
      <c r="B10" s="117">
        <f>'Trip Dreaming'!K9</f>
        <v>44704</v>
      </c>
      <c r="C10" s="118">
        <f>'Trip Dreaming'!L9</f>
        <v>44711</v>
      </c>
      <c r="D10" s="14" t="str">
        <f>'Trip Dreaming'!M9</f>
        <v>Interlaken, Switzerland</v>
      </c>
      <c r="E10" s="14">
        <f>IF('Trip Dreaming'!N9=0," ",'Trip Dreaming'!N9)</f>
        <v>7</v>
      </c>
      <c r="F10" s="191" t="s">
        <v>137</v>
      </c>
      <c r="G10" s="191"/>
      <c r="H10" s="191"/>
      <c r="I10" s="201">
        <v>139</v>
      </c>
      <c r="J10" s="188" t="s">
        <v>68</v>
      </c>
      <c r="K10" s="188"/>
      <c r="L10" s="192"/>
      <c r="M10" s="3"/>
      <c r="N10" s="3"/>
      <c r="O10" s="3"/>
      <c r="P10" s="3"/>
      <c r="Q10" s="3"/>
      <c r="R10" s="3"/>
      <c r="S10" s="3"/>
      <c r="T10" s="3"/>
      <c r="U10" s="3"/>
      <c r="V10" s="3"/>
      <c r="W10" s="3"/>
      <c r="X10" s="3"/>
      <c r="Y10" s="3"/>
      <c r="Z10" s="3"/>
      <c r="AA10" s="3"/>
      <c r="AB10" s="3"/>
    </row>
    <row r="11" spans="1:28" ht="15">
      <c r="A11" s="3"/>
      <c r="B11" s="117">
        <f>'Trip Dreaming'!K10</f>
        <v>44711</v>
      </c>
      <c r="C11" s="118">
        <f>'Trip Dreaming'!L10</f>
        <v>44712</v>
      </c>
      <c r="D11" s="14" t="str">
        <f>'Trip Dreaming'!M10</f>
        <v>Halstatt, Austria</v>
      </c>
      <c r="E11" s="14">
        <f>IF('Trip Dreaming'!N10=0," ",'Trip Dreaming'!N10)</f>
        <v>1</v>
      </c>
      <c r="F11" s="191" t="s">
        <v>138</v>
      </c>
      <c r="G11" s="191"/>
      <c r="H11" s="191"/>
      <c r="I11" s="201">
        <v>91</v>
      </c>
      <c r="J11" s="188" t="s">
        <v>68</v>
      </c>
      <c r="K11" s="188"/>
      <c r="L11" s="192"/>
      <c r="M11" s="3"/>
      <c r="N11" s="3"/>
      <c r="O11" s="3"/>
      <c r="P11" s="3"/>
      <c r="Q11" s="3"/>
      <c r="R11" s="3"/>
      <c r="S11" s="3"/>
      <c r="T11" s="3"/>
      <c r="U11" s="3"/>
      <c r="V11" s="3"/>
      <c r="W11" s="3"/>
      <c r="X11" s="3"/>
      <c r="Y11" s="3"/>
      <c r="Z11" s="3"/>
      <c r="AA11" s="3"/>
      <c r="AB11" s="3"/>
    </row>
    <row r="12" spans="1:28" ht="15">
      <c r="A12" s="3"/>
      <c r="B12" s="117">
        <f>'Trip Dreaming'!K11</f>
        <v>44712</v>
      </c>
      <c r="C12" s="118">
        <f>'Trip Dreaming'!L11</f>
        <v>44715</v>
      </c>
      <c r="D12" s="14" t="str">
        <f>'Trip Dreaming'!M11</f>
        <v>Munich, Germany</v>
      </c>
      <c r="E12" s="14">
        <f>IF('Trip Dreaming'!N11=0," ",'Trip Dreaming'!N11)</f>
        <v>3</v>
      </c>
      <c r="F12" s="191" t="s">
        <v>139</v>
      </c>
      <c r="G12" s="191"/>
      <c r="H12" s="191"/>
      <c r="I12" s="201">
        <v>124</v>
      </c>
      <c r="J12" s="188" t="s">
        <v>68</v>
      </c>
      <c r="K12" s="188"/>
      <c r="L12" s="192"/>
      <c r="M12" s="3"/>
      <c r="N12" s="3"/>
      <c r="O12" s="3"/>
      <c r="P12" s="3"/>
      <c r="Q12" s="3"/>
      <c r="R12" s="3"/>
      <c r="S12" s="3"/>
      <c r="T12" s="3"/>
      <c r="U12" s="3"/>
      <c r="V12" s="3"/>
      <c r="W12" s="3"/>
      <c r="X12" s="3"/>
      <c r="Y12" s="3"/>
      <c r="Z12" s="3"/>
      <c r="AA12" s="3"/>
      <c r="AB12" s="3"/>
    </row>
    <row r="13" spans="1:28" ht="15">
      <c r="A13" s="3"/>
      <c r="B13" s="117">
        <f>'Trip Dreaming'!K12</f>
        <v>44715</v>
      </c>
      <c r="C13" s="118">
        <f>'Trip Dreaming'!L12</f>
        <v>44720</v>
      </c>
      <c r="D13" s="14" t="str">
        <f>'Trip Dreaming'!M12</f>
        <v>Berlin, Germany</v>
      </c>
      <c r="E13" s="14">
        <f>IF('Trip Dreaming'!N12=0," ",'Trip Dreaming'!N12)</f>
        <v>5</v>
      </c>
      <c r="F13" s="191" t="s">
        <v>140</v>
      </c>
      <c r="G13" s="191"/>
      <c r="H13" s="191"/>
      <c r="I13" s="201">
        <v>256</v>
      </c>
      <c r="J13" s="188" t="s">
        <v>68</v>
      </c>
      <c r="K13" s="188"/>
      <c r="L13" s="192"/>
      <c r="M13" s="3"/>
      <c r="N13" s="3"/>
      <c r="O13" s="3"/>
      <c r="P13" s="3"/>
      <c r="Q13" s="3"/>
      <c r="R13" s="3"/>
      <c r="S13" s="3"/>
      <c r="T13" s="3"/>
      <c r="U13" s="3"/>
      <c r="V13" s="3"/>
      <c r="W13" s="3"/>
      <c r="X13" s="3"/>
      <c r="Y13" s="3"/>
      <c r="Z13" s="3"/>
      <c r="AA13" s="3"/>
      <c r="AB13" s="3"/>
    </row>
    <row r="14" spans="1:28" ht="15">
      <c r="A14" s="3"/>
      <c r="B14" s="117">
        <f>'Trip Dreaming'!K13</f>
        <v>44720</v>
      </c>
      <c r="C14" s="118">
        <f>'Trip Dreaming'!L13</f>
        <v>44725</v>
      </c>
      <c r="D14" s="14" t="str">
        <f>'Trip Dreaming'!M13</f>
        <v>Amsterdam, Netherlands</v>
      </c>
      <c r="E14" s="14">
        <f>IF('Trip Dreaming'!N13=0," ",'Trip Dreaming'!N13)</f>
        <v>5</v>
      </c>
      <c r="F14" s="191" t="s">
        <v>141</v>
      </c>
      <c r="G14" s="191"/>
      <c r="H14" s="191"/>
      <c r="I14" s="201">
        <v>138</v>
      </c>
      <c r="J14" s="188" t="s">
        <v>68</v>
      </c>
      <c r="K14" s="188"/>
      <c r="L14" s="192"/>
      <c r="M14" s="3"/>
      <c r="N14" s="3"/>
      <c r="O14" s="3"/>
      <c r="P14" s="3"/>
      <c r="Q14" s="3"/>
      <c r="R14" s="3"/>
      <c r="S14" s="3"/>
      <c r="T14" s="3"/>
      <c r="U14" s="3"/>
      <c r="V14" s="3"/>
      <c r="W14" s="3"/>
      <c r="X14" s="3"/>
      <c r="Y14" s="3"/>
      <c r="Z14" s="3"/>
      <c r="AA14" s="3"/>
      <c r="AB14" s="3"/>
    </row>
    <row r="15" spans="1:28" ht="15">
      <c r="A15" s="3"/>
      <c r="B15" s="117">
        <f>'Trip Dreaming'!K14</f>
        <v>44725</v>
      </c>
      <c r="C15" s="118">
        <f>'Trip Dreaming'!L14</f>
        <v>44729</v>
      </c>
      <c r="D15" s="14" t="str">
        <f>'Trip Dreaming'!M14</f>
        <v>Copenhagen, Denmark</v>
      </c>
      <c r="E15" s="14">
        <f>IF('Trip Dreaming'!N14=0," ",'Trip Dreaming'!N14)</f>
        <v>4</v>
      </c>
      <c r="F15" s="191" t="s">
        <v>142</v>
      </c>
      <c r="G15" s="191"/>
      <c r="H15" s="191"/>
      <c r="I15" s="201">
        <v>175</v>
      </c>
      <c r="J15" s="188" t="s">
        <v>68</v>
      </c>
      <c r="K15" s="188"/>
      <c r="L15" s="192"/>
      <c r="M15" s="3"/>
      <c r="N15" s="3"/>
      <c r="O15" s="3"/>
      <c r="P15" s="3"/>
      <c r="Q15" s="3"/>
      <c r="R15" s="3"/>
      <c r="S15" s="3"/>
      <c r="T15" s="3"/>
      <c r="U15" s="3"/>
      <c r="V15" s="3"/>
      <c r="W15" s="3"/>
      <c r="X15" s="3"/>
      <c r="Y15" s="3"/>
      <c r="Z15" s="3"/>
      <c r="AA15" s="3"/>
      <c r="AB15" s="3"/>
    </row>
    <row r="16" spans="1:28" ht="15">
      <c r="A16" s="3"/>
      <c r="B16" s="117">
        <f>'Trip Dreaming'!K15</f>
        <v>44729</v>
      </c>
      <c r="C16" s="118">
        <f>'Trip Dreaming'!L15</f>
        <v>44735</v>
      </c>
      <c r="D16" s="14" t="str">
        <f>'Trip Dreaming'!M15</f>
        <v>Dublin, Ireland</v>
      </c>
      <c r="E16" s="14">
        <f>IF('Trip Dreaming'!N15=0," ",'Trip Dreaming'!N15)</f>
        <v>6</v>
      </c>
      <c r="F16" s="191" t="s">
        <v>143</v>
      </c>
      <c r="G16" s="191"/>
      <c r="H16" s="191"/>
      <c r="I16" s="201">
        <v>182</v>
      </c>
      <c r="J16" s="188" t="s">
        <v>68</v>
      </c>
      <c r="K16" s="188"/>
      <c r="L16" s="192"/>
      <c r="M16" s="3"/>
      <c r="N16" s="3"/>
      <c r="O16" s="3"/>
      <c r="P16" s="3"/>
      <c r="Q16" s="3"/>
      <c r="R16" s="3"/>
      <c r="S16" s="3"/>
      <c r="T16" s="3"/>
      <c r="U16" s="3"/>
      <c r="V16" s="3"/>
      <c r="W16" s="3"/>
      <c r="X16" s="3"/>
      <c r="Y16" s="3"/>
      <c r="Z16" s="3"/>
      <c r="AA16" s="3"/>
      <c r="AB16" s="3"/>
    </row>
    <row r="17" spans="1:28" ht="15">
      <c r="A17" s="3"/>
      <c r="B17" s="117">
        <f>'Trip Dreaming'!K16</f>
        <v>44735</v>
      </c>
      <c r="C17" s="118">
        <f>'Trip Dreaming'!L16</f>
        <v>44740</v>
      </c>
      <c r="D17" s="14" t="str">
        <f>'Trip Dreaming'!M16</f>
        <v>Edinburgh, Scotland</v>
      </c>
      <c r="E17" s="14">
        <f>IF('Trip Dreaming'!N16=0," ",'Trip Dreaming'!N16)</f>
        <v>5</v>
      </c>
      <c r="F17" s="191" t="s">
        <v>144</v>
      </c>
      <c r="G17" s="191"/>
      <c r="H17" s="191"/>
      <c r="I17" s="201">
        <v>125</v>
      </c>
      <c r="J17" s="188" t="s">
        <v>68</v>
      </c>
      <c r="K17" s="188"/>
      <c r="L17" s="192"/>
      <c r="M17" s="3"/>
      <c r="N17" s="3"/>
      <c r="O17" s="3"/>
      <c r="P17" s="3"/>
      <c r="Q17" s="3"/>
      <c r="R17" s="3"/>
      <c r="S17" s="3"/>
      <c r="T17" s="3"/>
      <c r="U17" s="3"/>
      <c r="V17" s="3"/>
      <c r="W17" s="3"/>
      <c r="X17" s="3"/>
      <c r="Y17" s="3"/>
      <c r="Z17" s="3"/>
      <c r="AA17" s="3"/>
      <c r="AB17" s="3"/>
    </row>
    <row r="18" spans="1:28" ht="15">
      <c r="A18" s="3"/>
      <c r="B18" s="117">
        <f>'Trip Dreaming'!K17</f>
        <v>44740</v>
      </c>
      <c r="C18" s="118">
        <f>'Trip Dreaming'!L17</f>
        <v>44747</v>
      </c>
      <c r="D18" s="14" t="str">
        <f>'Trip Dreaming'!M17</f>
        <v>London, England</v>
      </c>
      <c r="E18" s="14">
        <f>IF('Trip Dreaming'!N17=0," ",'Trip Dreaming'!N17)</f>
        <v>7</v>
      </c>
      <c r="F18" s="191" t="s">
        <v>145</v>
      </c>
      <c r="G18" s="191"/>
      <c r="H18" s="191"/>
      <c r="I18" s="201">
        <v>234</v>
      </c>
      <c r="J18" s="188" t="s">
        <v>68</v>
      </c>
      <c r="K18" s="188"/>
      <c r="L18" s="192"/>
      <c r="M18" s="3"/>
      <c r="N18" s="3"/>
      <c r="O18" s="3"/>
      <c r="P18" s="3"/>
      <c r="Q18" s="3"/>
      <c r="R18" s="3"/>
      <c r="S18" s="3"/>
      <c r="T18" s="3"/>
      <c r="U18" s="3"/>
      <c r="V18" s="3"/>
      <c r="W18" s="3"/>
      <c r="X18" s="3"/>
      <c r="Y18" s="3"/>
      <c r="Z18" s="3"/>
      <c r="AA18" s="3"/>
      <c r="AB18" s="3"/>
    </row>
    <row r="19" spans="1:28">
      <c r="A19" s="3"/>
      <c r="B19" s="117">
        <f>'Trip Dreaming'!K18</f>
        <v>44747</v>
      </c>
      <c r="C19" s="118">
        <f>'Trip Dreaming'!L18</f>
        <v>44747</v>
      </c>
      <c r="D19" s="14" t="str">
        <f>'Trip Dreaming'!M18</f>
        <v xml:space="preserve"> </v>
      </c>
      <c r="E19" s="14" t="str">
        <f>IF('Trip Dreaming'!N18=0," ",'Trip Dreaming'!N18)</f>
        <v xml:space="preserve"> </v>
      </c>
      <c r="F19" s="191"/>
      <c r="G19" s="191"/>
      <c r="H19" s="191"/>
      <c r="I19" s="191"/>
      <c r="J19" s="191"/>
      <c r="K19" s="191"/>
      <c r="L19" s="192"/>
      <c r="M19" s="3"/>
      <c r="N19" s="3"/>
      <c r="O19" s="3"/>
      <c r="P19" s="3"/>
      <c r="Q19" s="3"/>
      <c r="R19" s="3"/>
      <c r="S19" s="3"/>
      <c r="T19" s="3"/>
      <c r="U19" s="3"/>
      <c r="V19" s="3"/>
      <c r="W19" s="3"/>
      <c r="X19" s="3"/>
      <c r="Y19" s="3"/>
      <c r="Z19" s="3"/>
      <c r="AA19" s="3"/>
      <c r="AB19" s="3"/>
    </row>
    <row r="20" spans="1:28">
      <c r="A20" s="3"/>
      <c r="B20" s="117" t="str">
        <f>'Trip Dreaming'!K19</f>
        <v xml:space="preserve"> </v>
      </c>
      <c r="C20" s="118" t="str">
        <f>'Trip Dreaming'!L19</f>
        <v xml:space="preserve"> </v>
      </c>
      <c r="D20" s="14" t="str">
        <f>'Trip Dreaming'!M19</f>
        <v xml:space="preserve"> </v>
      </c>
      <c r="E20" s="14" t="str">
        <f>IF('Trip Dreaming'!N19=0," ",'Trip Dreaming'!N19)</f>
        <v xml:space="preserve"> </v>
      </c>
      <c r="F20" s="191"/>
      <c r="G20" s="191"/>
      <c r="H20" s="191"/>
      <c r="I20" s="191"/>
      <c r="J20" s="191"/>
      <c r="K20" s="191"/>
      <c r="L20" s="192"/>
      <c r="M20" s="3"/>
      <c r="N20" s="3"/>
      <c r="O20" s="3"/>
      <c r="P20" s="3"/>
      <c r="Q20" s="3"/>
      <c r="R20" s="3"/>
      <c r="S20" s="3"/>
      <c r="T20" s="3"/>
      <c r="U20" s="3"/>
      <c r="V20" s="3"/>
      <c r="W20" s="3"/>
      <c r="X20" s="3"/>
      <c r="Y20" s="3"/>
      <c r="Z20" s="3"/>
      <c r="AA20" s="3"/>
      <c r="AB20" s="3"/>
    </row>
    <row r="21" spans="1:28">
      <c r="A21" s="3"/>
      <c r="B21" s="117" t="str">
        <f>'Trip Dreaming'!K20</f>
        <v xml:space="preserve"> </v>
      </c>
      <c r="C21" s="118" t="str">
        <f>'Trip Dreaming'!L20</f>
        <v xml:space="preserve"> </v>
      </c>
      <c r="D21" s="14" t="str">
        <f>'Trip Dreaming'!M20</f>
        <v xml:space="preserve"> </v>
      </c>
      <c r="E21" s="14" t="str">
        <f>IF('Trip Dreaming'!N20=0," ",'Trip Dreaming'!N20)</f>
        <v xml:space="preserve"> </v>
      </c>
      <c r="F21" s="191"/>
      <c r="G21" s="191"/>
      <c r="H21" s="191"/>
      <c r="I21" s="191"/>
      <c r="J21" s="191"/>
      <c r="K21" s="191"/>
      <c r="L21" s="192"/>
      <c r="M21" s="3"/>
      <c r="N21" s="3"/>
      <c r="O21" s="3"/>
      <c r="P21" s="3"/>
      <c r="Q21" s="3"/>
      <c r="R21" s="3"/>
      <c r="S21" s="3"/>
      <c r="T21" s="3"/>
      <c r="U21" s="3"/>
      <c r="V21" s="3"/>
      <c r="W21" s="3"/>
      <c r="X21" s="3"/>
      <c r="Y21" s="3"/>
      <c r="Z21" s="3"/>
      <c r="AA21" s="3"/>
      <c r="AB21" s="3"/>
    </row>
    <row r="22" spans="1:28">
      <c r="A22" s="3"/>
      <c r="B22" s="117" t="str">
        <f>'Trip Dreaming'!K21</f>
        <v xml:space="preserve"> </v>
      </c>
      <c r="C22" s="118" t="str">
        <f>'Trip Dreaming'!L21</f>
        <v xml:space="preserve"> </v>
      </c>
      <c r="D22" s="14" t="str">
        <f>'Trip Dreaming'!M21</f>
        <v xml:space="preserve"> </v>
      </c>
      <c r="E22" s="14" t="str">
        <f>IF('Trip Dreaming'!N21=0," ",'Trip Dreaming'!N21)</f>
        <v xml:space="preserve"> </v>
      </c>
      <c r="F22" s="191"/>
      <c r="G22" s="191"/>
      <c r="H22" s="191"/>
      <c r="I22" s="191"/>
      <c r="J22" s="191"/>
      <c r="K22" s="191"/>
      <c r="L22" s="192"/>
      <c r="M22" s="3"/>
      <c r="N22" s="3"/>
      <c r="O22" s="3"/>
      <c r="P22" s="3"/>
      <c r="Q22" s="3"/>
      <c r="R22" s="3"/>
      <c r="S22" s="3"/>
      <c r="T22" s="3"/>
      <c r="U22" s="3"/>
      <c r="V22" s="3"/>
      <c r="W22" s="3"/>
      <c r="X22" s="3"/>
      <c r="Y22" s="3"/>
      <c r="Z22" s="3"/>
      <c r="AA22" s="3"/>
      <c r="AB22" s="3"/>
    </row>
    <row r="23" spans="1:28">
      <c r="A23" s="3"/>
      <c r="B23" s="117" t="str">
        <f>'Trip Dreaming'!K22</f>
        <v xml:space="preserve"> </v>
      </c>
      <c r="C23" s="118" t="str">
        <f>'Trip Dreaming'!L22</f>
        <v xml:space="preserve"> </v>
      </c>
      <c r="D23" s="14" t="str">
        <f>'Trip Dreaming'!M22</f>
        <v xml:space="preserve"> </v>
      </c>
      <c r="E23" s="14" t="str">
        <f>IF('Trip Dreaming'!N22=0," ",'Trip Dreaming'!N22)</f>
        <v xml:space="preserve"> </v>
      </c>
      <c r="F23" s="191"/>
      <c r="G23" s="191"/>
      <c r="H23" s="191"/>
      <c r="I23" s="191"/>
      <c r="J23" s="191"/>
      <c r="K23" s="191"/>
      <c r="L23" s="192"/>
      <c r="M23" s="3"/>
      <c r="N23" s="3"/>
      <c r="O23" s="3"/>
      <c r="P23" s="3"/>
      <c r="Q23" s="3"/>
      <c r="R23" s="3"/>
      <c r="S23" s="3"/>
      <c r="T23" s="3"/>
      <c r="U23" s="3"/>
      <c r="V23" s="3"/>
      <c r="W23" s="3"/>
      <c r="X23" s="3"/>
      <c r="Y23" s="3"/>
      <c r="Z23" s="3"/>
      <c r="AA23" s="3"/>
      <c r="AB23" s="3"/>
    </row>
    <row r="24" spans="1:28">
      <c r="A24" s="3"/>
      <c r="B24" s="117" t="str">
        <f>'Trip Dreaming'!K23</f>
        <v xml:space="preserve"> </v>
      </c>
      <c r="C24" s="118" t="str">
        <f>'Trip Dreaming'!L23</f>
        <v xml:space="preserve"> </v>
      </c>
      <c r="D24" s="14" t="str">
        <f>'Trip Dreaming'!M23</f>
        <v xml:space="preserve"> </v>
      </c>
      <c r="E24" s="14" t="str">
        <f>IF('Trip Dreaming'!N23=0," ",'Trip Dreaming'!N23)</f>
        <v xml:space="preserve"> </v>
      </c>
      <c r="F24" s="191"/>
      <c r="G24" s="191"/>
      <c r="H24" s="191"/>
      <c r="I24" s="191"/>
      <c r="J24" s="191"/>
      <c r="K24" s="191"/>
      <c r="L24" s="192"/>
      <c r="M24" s="3"/>
      <c r="N24" s="3"/>
      <c r="O24" s="3"/>
      <c r="P24" s="3"/>
      <c r="Q24" s="3"/>
      <c r="R24" s="3"/>
      <c r="S24" s="3"/>
      <c r="T24" s="3"/>
      <c r="U24" s="3"/>
      <c r="V24" s="3"/>
      <c r="W24" s="3"/>
      <c r="X24" s="3"/>
      <c r="Y24" s="3"/>
      <c r="Z24" s="3"/>
      <c r="AA24" s="3"/>
      <c r="AB24" s="3"/>
    </row>
    <row r="25" spans="1:28">
      <c r="A25" s="3"/>
      <c r="B25" s="117" t="str">
        <f>'Trip Dreaming'!K24</f>
        <v xml:space="preserve"> </v>
      </c>
      <c r="C25" s="118" t="str">
        <f>'Trip Dreaming'!L24</f>
        <v xml:space="preserve"> </v>
      </c>
      <c r="D25" s="14" t="str">
        <f>'Trip Dreaming'!M24</f>
        <v xml:space="preserve"> </v>
      </c>
      <c r="E25" s="14" t="str">
        <f>IF('Trip Dreaming'!N24=0," ",'Trip Dreaming'!N24)</f>
        <v xml:space="preserve"> </v>
      </c>
      <c r="F25" s="191"/>
      <c r="G25" s="191"/>
      <c r="H25" s="191"/>
      <c r="I25" s="191"/>
      <c r="J25" s="191"/>
      <c r="K25" s="191"/>
      <c r="L25" s="192"/>
      <c r="M25" s="3"/>
      <c r="N25" s="3"/>
      <c r="O25" s="3"/>
      <c r="P25" s="3"/>
      <c r="Q25" s="3"/>
      <c r="R25" s="3"/>
      <c r="S25" s="3"/>
      <c r="T25" s="3"/>
      <c r="U25" s="3"/>
      <c r="V25" s="3"/>
      <c r="W25" s="3"/>
      <c r="X25" s="3"/>
      <c r="Y25" s="3"/>
      <c r="Z25" s="3"/>
      <c r="AA25" s="3"/>
      <c r="AB25" s="3"/>
    </row>
    <row r="26" spans="1:28">
      <c r="A26" s="3"/>
      <c r="B26" s="117" t="str">
        <f>'Trip Dreaming'!K25</f>
        <v xml:space="preserve"> </v>
      </c>
      <c r="C26" s="118" t="str">
        <f>'Trip Dreaming'!L25</f>
        <v xml:space="preserve"> </v>
      </c>
      <c r="D26" s="14" t="str">
        <f>'Trip Dreaming'!M25</f>
        <v xml:space="preserve"> </v>
      </c>
      <c r="E26" s="14" t="str">
        <f>IF('Trip Dreaming'!N25=0," ",'Trip Dreaming'!N25)</f>
        <v xml:space="preserve"> </v>
      </c>
      <c r="F26" s="191"/>
      <c r="G26" s="191"/>
      <c r="H26" s="191"/>
      <c r="I26" s="191"/>
      <c r="J26" s="191"/>
      <c r="K26" s="191"/>
      <c r="L26" s="192"/>
      <c r="M26" s="3"/>
      <c r="N26" s="3"/>
      <c r="O26" s="3"/>
      <c r="P26" s="3"/>
      <c r="Q26" s="3"/>
      <c r="R26" s="3"/>
      <c r="S26" s="3"/>
      <c r="T26" s="3"/>
      <c r="U26" s="3"/>
      <c r="V26" s="3"/>
      <c r="W26" s="3"/>
      <c r="X26" s="3"/>
      <c r="Y26" s="3"/>
      <c r="Z26" s="3"/>
      <c r="AA26" s="3"/>
      <c r="AB26" s="3"/>
    </row>
    <row r="27" spans="1:28">
      <c r="A27" s="3"/>
      <c r="B27" s="117" t="str">
        <f>'Trip Dreaming'!K26</f>
        <v xml:space="preserve"> </v>
      </c>
      <c r="C27" s="118" t="str">
        <f>'Trip Dreaming'!L26</f>
        <v xml:space="preserve"> </v>
      </c>
      <c r="D27" s="14" t="str">
        <f>'Trip Dreaming'!M26</f>
        <v xml:space="preserve"> </v>
      </c>
      <c r="E27" s="14" t="str">
        <f>IF('Trip Dreaming'!N26=0," ",'Trip Dreaming'!N26)</f>
        <v xml:space="preserve"> </v>
      </c>
      <c r="F27" s="191"/>
      <c r="G27" s="191"/>
      <c r="H27" s="191"/>
      <c r="I27" s="191"/>
      <c r="J27" s="191"/>
      <c r="K27" s="191"/>
      <c r="L27" s="192"/>
      <c r="M27" s="3"/>
      <c r="N27" s="3"/>
      <c r="O27" s="3"/>
      <c r="P27" s="3"/>
      <c r="Q27" s="3"/>
      <c r="R27" s="3"/>
      <c r="S27" s="3"/>
      <c r="T27" s="3"/>
      <c r="U27" s="3"/>
      <c r="V27" s="3"/>
      <c r="W27" s="3"/>
      <c r="X27" s="3"/>
      <c r="Y27" s="3"/>
      <c r="Z27" s="3"/>
      <c r="AA27" s="3"/>
      <c r="AB27" s="3"/>
    </row>
    <row r="28" spans="1:28">
      <c r="A28" s="3"/>
      <c r="B28" s="117" t="str">
        <f>'Trip Dreaming'!K27</f>
        <v xml:space="preserve"> </v>
      </c>
      <c r="C28" s="118" t="str">
        <f>'Trip Dreaming'!L27</f>
        <v xml:space="preserve"> </v>
      </c>
      <c r="D28" s="14" t="str">
        <f>'Trip Dreaming'!M27</f>
        <v xml:space="preserve"> </v>
      </c>
      <c r="E28" s="14" t="str">
        <f>IF('Trip Dreaming'!N27=0," ",'Trip Dreaming'!N27)</f>
        <v xml:space="preserve"> </v>
      </c>
      <c r="F28" s="191"/>
      <c r="G28" s="191"/>
      <c r="H28" s="191"/>
      <c r="I28" s="191"/>
      <c r="J28" s="191"/>
      <c r="K28" s="191"/>
      <c r="L28" s="192"/>
      <c r="M28" s="3"/>
      <c r="N28" s="3"/>
      <c r="O28" s="3"/>
      <c r="P28" s="3"/>
      <c r="Q28" s="3"/>
      <c r="R28" s="3"/>
      <c r="S28" s="3"/>
      <c r="T28" s="3"/>
      <c r="U28" s="3"/>
      <c r="V28" s="3"/>
      <c r="W28" s="3"/>
      <c r="X28" s="3"/>
      <c r="Y28" s="3"/>
      <c r="Z28" s="3"/>
      <c r="AA28" s="3"/>
      <c r="AB28" s="3"/>
    </row>
    <row r="29" spans="1:28">
      <c r="A29" s="3"/>
      <c r="B29" s="117" t="str">
        <f>'Trip Dreaming'!K28</f>
        <v xml:space="preserve"> </v>
      </c>
      <c r="C29" s="118" t="str">
        <f>'Trip Dreaming'!L28</f>
        <v xml:space="preserve"> </v>
      </c>
      <c r="D29" s="14" t="str">
        <f>'Trip Dreaming'!M28</f>
        <v xml:space="preserve"> </v>
      </c>
      <c r="E29" s="14" t="str">
        <f>IF('Trip Dreaming'!N28=0," ",'Trip Dreaming'!N28)</f>
        <v xml:space="preserve"> </v>
      </c>
      <c r="F29" s="191"/>
      <c r="G29" s="191"/>
      <c r="H29" s="191"/>
      <c r="I29" s="191"/>
      <c r="J29" s="191"/>
      <c r="K29" s="191"/>
      <c r="L29" s="192"/>
      <c r="M29" s="3"/>
      <c r="N29" s="3"/>
      <c r="O29" s="3"/>
      <c r="P29" s="3"/>
      <c r="Q29" s="3"/>
      <c r="R29" s="3"/>
      <c r="S29" s="3"/>
      <c r="T29" s="3"/>
      <c r="U29" s="3"/>
      <c r="V29" s="3"/>
      <c r="W29" s="3"/>
      <c r="X29" s="3"/>
      <c r="Y29" s="3"/>
      <c r="Z29" s="3"/>
      <c r="AA29" s="3"/>
      <c r="AB29" s="3"/>
    </row>
    <row r="30" spans="1:28">
      <c r="A30" s="3"/>
      <c r="B30" s="117" t="str">
        <f>'Trip Dreaming'!K29</f>
        <v xml:space="preserve"> </v>
      </c>
      <c r="C30" s="118" t="str">
        <f>'Trip Dreaming'!L29</f>
        <v xml:space="preserve"> </v>
      </c>
      <c r="D30" s="14" t="str">
        <f>'Trip Dreaming'!M29</f>
        <v xml:space="preserve"> </v>
      </c>
      <c r="E30" s="14" t="str">
        <f>IF('Trip Dreaming'!N29=0," ",'Trip Dreaming'!N29)</f>
        <v xml:space="preserve"> </v>
      </c>
      <c r="F30" s="191"/>
      <c r="G30" s="191"/>
      <c r="H30" s="191"/>
      <c r="I30" s="191"/>
      <c r="J30" s="191"/>
      <c r="K30" s="191"/>
      <c r="L30" s="192"/>
      <c r="M30" s="3"/>
      <c r="N30" s="3"/>
      <c r="O30" s="3"/>
      <c r="P30" s="3"/>
      <c r="Q30" s="3"/>
      <c r="R30" s="3"/>
      <c r="S30" s="3"/>
      <c r="T30" s="3"/>
      <c r="U30" s="3"/>
      <c r="V30" s="3"/>
      <c r="W30" s="3"/>
      <c r="X30" s="3"/>
      <c r="Y30" s="3"/>
      <c r="Z30" s="3"/>
      <c r="AA30" s="3"/>
      <c r="AB30" s="3"/>
    </row>
    <row r="31" spans="1:28" ht="15" thickBot="1">
      <c r="A31" s="3"/>
      <c r="B31" s="117" t="str">
        <f>'Trip Dreaming'!K30</f>
        <v xml:space="preserve"> </v>
      </c>
      <c r="C31" s="118" t="str">
        <f>'Trip Dreaming'!L30</f>
        <v xml:space="preserve"> </v>
      </c>
      <c r="D31" s="14" t="str">
        <f>'Trip Dreaming'!M30</f>
        <v xml:space="preserve"> </v>
      </c>
      <c r="E31" s="14" t="str">
        <f>IF('Trip Dreaming'!N30=0," ",'Trip Dreaming'!N30)</f>
        <v xml:space="preserve"> </v>
      </c>
      <c r="F31" s="195"/>
      <c r="G31" s="195"/>
      <c r="H31" s="195"/>
      <c r="I31" s="195"/>
      <c r="J31" s="195"/>
      <c r="K31" s="195"/>
      <c r="L31" s="196"/>
      <c r="M31" s="3"/>
      <c r="N31" s="3"/>
      <c r="O31" s="3"/>
      <c r="P31" s="3"/>
      <c r="Q31" s="3"/>
      <c r="R31" s="3"/>
      <c r="S31" s="3"/>
      <c r="T31" s="3"/>
      <c r="U31" s="3"/>
      <c r="V31" s="3"/>
      <c r="W31" s="3"/>
      <c r="X31" s="3"/>
      <c r="Y31" s="3"/>
      <c r="Z31" s="3"/>
      <c r="AA31" s="3"/>
      <c r="AB31" s="3"/>
    </row>
    <row r="32" spans="1:28">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sheetData>
  <sheetProtection algorithmName="SHA-512" hashValue="LDtmv4G53iBPvqosSsVNnPI3VUBEkeXrIOzVj8Ayc4Z9wkGxGAJRPrPJKhKI/qlQSipGoeRvd28OT6cVJdCpWA==" saltValue="wa5CFp2xUpmXoPz6lbG+6w==" spinCount="100000" sheet="1"/>
  <mergeCells count="3">
    <mergeCell ref="B2:D2"/>
    <mergeCell ref="B3:E3"/>
    <mergeCell ref="G3:H3"/>
  </mergeCells>
  <dataValidations count="1">
    <dataValidation type="list" allowBlank="1" showInputMessage="1" showErrorMessage="1" sqref="J7:J18" xr:uid="{5B3851D9-5631-4F24-B39A-5D486B51717A}">
      <formula1>"Yes,No"</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B6239-1729-43BA-8559-B5764A9CDEAF}">
  <sheetPr codeName="Sheet7">
    <tabColor theme="7"/>
  </sheetPr>
  <dimension ref="A1:X37"/>
  <sheetViews>
    <sheetView showGridLines="0" topLeftCell="A7" workbookViewId="0">
      <selection activeCell="F10" sqref="F10"/>
    </sheetView>
  </sheetViews>
  <sheetFormatPr defaultRowHeight="14.45"/>
  <cols>
    <col min="2" max="2" width="9.42578125" customWidth="1"/>
    <col min="3" max="3" width="15.5703125" customWidth="1"/>
    <col min="5" max="5" width="8.5703125" customWidth="1"/>
    <col min="6" max="7" width="15.42578125" customWidth="1"/>
    <col min="8" max="8" width="25.5703125" customWidth="1"/>
    <col min="9" max="9" width="17.42578125" customWidth="1"/>
    <col min="10" max="10" width="15.85546875" customWidth="1"/>
  </cols>
  <sheetData>
    <row r="1" spans="1:24">
      <c r="A1" s="156"/>
      <c r="B1" s="156"/>
      <c r="C1" s="156"/>
      <c r="D1" s="156"/>
      <c r="E1" s="156"/>
      <c r="F1" s="156"/>
      <c r="G1" s="156"/>
      <c r="H1" s="156"/>
      <c r="I1" s="156"/>
      <c r="J1" s="156"/>
      <c r="K1" s="156"/>
      <c r="L1" s="156"/>
      <c r="M1" s="156"/>
      <c r="N1" s="156"/>
      <c r="O1" s="156"/>
      <c r="P1" s="156"/>
      <c r="Q1" s="156"/>
      <c r="R1" s="156"/>
      <c r="S1" s="156"/>
      <c r="T1" s="156"/>
      <c r="U1" s="156"/>
      <c r="V1" s="156"/>
      <c r="W1" s="156"/>
      <c r="X1" s="156"/>
    </row>
    <row r="2" spans="1:24" ht="21.6" thickBot="1">
      <c r="A2" s="156"/>
      <c r="B2" s="290" t="s">
        <v>146</v>
      </c>
      <c r="C2" s="290"/>
      <c r="D2" s="290"/>
      <c r="E2" s="290"/>
      <c r="F2" s="290"/>
      <c r="G2" s="156"/>
      <c r="H2" s="291" t="s">
        <v>147</v>
      </c>
      <c r="I2" s="291"/>
      <c r="J2" s="156"/>
      <c r="K2" s="156"/>
      <c r="L2" s="156"/>
      <c r="M2" s="156"/>
      <c r="N2" s="156"/>
      <c r="O2" s="156"/>
      <c r="P2" s="156"/>
      <c r="Q2" s="156"/>
      <c r="R2" s="156"/>
      <c r="S2" s="156"/>
      <c r="T2" s="156"/>
      <c r="U2" s="156"/>
      <c r="V2" s="156"/>
      <c r="W2" s="156"/>
      <c r="X2" s="156"/>
    </row>
    <row r="3" spans="1:24" ht="14.65" customHeight="1" thickBot="1">
      <c r="A3" s="156"/>
      <c r="B3" s="294" t="s">
        <v>148</v>
      </c>
      <c r="C3" s="294"/>
      <c r="D3" s="294"/>
      <c r="E3" s="294"/>
      <c r="F3" s="294"/>
      <c r="G3" s="156"/>
      <c r="H3" s="292">
        <f>SUM(G7:G32)</f>
        <v>910</v>
      </c>
      <c r="I3" s="293"/>
      <c r="J3" s="156"/>
      <c r="K3" s="156"/>
      <c r="L3" s="156"/>
      <c r="M3" s="156"/>
      <c r="N3" s="156"/>
      <c r="O3" s="156"/>
      <c r="P3" s="156"/>
      <c r="Q3" s="156"/>
      <c r="R3" s="156"/>
      <c r="S3" s="156"/>
      <c r="T3" s="156"/>
      <c r="U3" s="156"/>
      <c r="V3" s="156"/>
      <c r="W3" s="156"/>
      <c r="X3" s="156"/>
    </row>
    <row r="4" spans="1:24">
      <c r="A4" s="156"/>
      <c r="B4" s="294"/>
      <c r="C4" s="294"/>
      <c r="D4" s="294"/>
      <c r="E4" s="294"/>
      <c r="F4" s="294"/>
      <c r="G4" s="156"/>
      <c r="H4" s="156"/>
      <c r="I4" s="156"/>
      <c r="J4" s="156"/>
      <c r="K4" s="156"/>
      <c r="L4" s="156"/>
      <c r="M4" s="156"/>
      <c r="N4" s="156"/>
      <c r="O4" s="156"/>
      <c r="P4" s="156"/>
      <c r="Q4" s="156"/>
      <c r="R4" s="156"/>
      <c r="S4" s="156"/>
      <c r="T4" s="156"/>
      <c r="U4" s="156"/>
      <c r="V4" s="156"/>
      <c r="W4" s="156"/>
      <c r="X4" s="156"/>
    </row>
    <row r="5" spans="1:24" ht="15" thickBot="1">
      <c r="A5" s="156"/>
      <c r="B5" s="204"/>
      <c r="C5" s="204"/>
      <c r="D5" s="204"/>
      <c r="E5" s="204"/>
      <c r="F5" s="204"/>
      <c r="G5" s="156"/>
      <c r="H5" s="156"/>
      <c r="I5" s="156"/>
      <c r="J5" s="156"/>
      <c r="K5" s="156"/>
      <c r="L5" s="156"/>
      <c r="M5" s="156"/>
      <c r="N5" s="156"/>
      <c r="O5" s="156"/>
      <c r="P5" s="156"/>
      <c r="Q5" s="156"/>
      <c r="R5" s="156"/>
      <c r="S5" s="156"/>
      <c r="T5" s="156"/>
      <c r="U5" s="156"/>
      <c r="V5" s="156"/>
      <c r="W5" s="156"/>
      <c r="X5" s="156"/>
    </row>
    <row r="6" spans="1:24" ht="15" thickBot="1">
      <c r="A6" s="156"/>
      <c r="B6" s="157" t="s">
        <v>62</v>
      </c>
      <c r="C6" s="158" t="s">
        <v>149</v>
      </c>
      <c r="D6" s="158" t="s">
        <v>150</v>
      </c>
      <c r="E6" s="158" t="s">
        <v>151</v>
      </c>
      <c r="F6" s="158" t="s">
        <v>152</v>
      </c>
      <c r="G6" s="159" t="s">
        <v>153</v>
      </c>
      <c r="H6" s="159" t="s">
        <v>154</v>
      </c>
      <c r="I6" s="158" t="s">
        <v>155</v>
      </c>
      <c r="J6" s="159" t="s">
        <v>156</v>
      </c>
      <c r="K6" s="156"/>
      <c r="L6" s="156"/>
      <c r="M6" s="156"/>
      <c r="N6" s="156"/>
      <c r="O6" s="156"/>
      <c r="P6" s="156"/>
      <c r="Q6" s="156"/>
      <c r="R6" s="156"/>
      <c r="S6" s="156"/>
      <c r="T6" s="156"/>
      <c r="U6" s="156"/>
      <c r="V6" s="156"/>
      <c r="W6" s="156"/>
      <c r="X6" s="156"/>
    </row>
    <row r="7" spans="1:24">
      <c r="A7" s="156"/>
      <c r="B7" s="231">
        <v>44693</v>
      </c>
      <c r="C7" s="188" t="s">
        <v>157</v>
      </c>
      <c r="D7" s="188" t="s">
        <v>21</v>
      </c>
      <c r="E7" s="188" t="s">
        <v>158</v>
      </c>
      <c r="F7" s="188" t="s">
        <v>159</v>
      </c>
      <c r="G7" s="232">
        <v>110</v>
      </c>
      <c r="H7" s="188" t="s">
        <v>160</v>
      </c>
      <c r="I7" s="188"/>
      <c r="J7" s="189"/>
      <c r="K7" s="156"/>
      <c r="L7" s="156"/>
      <c r="M7" s="156"/>
      <c r="N7" s="156"/>
      <c r="O7" s="156"/>
      <c r="P7" s="156"/>
      <c r="Q7" s="156"/>
      <c r="R7" s="156"/>
      <c r="S7" s="156"/>
      <c r="T7" s="156"/>
      <c r="U7" s="156"/>
      <c r="V7" s="156"/>
      <c r="W7" s="156"/>
      <c r="X7" s="156"/>
    </row>
    <row r="8" spans="1:24">
      <c r="A8" s="156"/>
      <c r="B8" s="231">
        <v>44747</v>
      </c>
      <c r="C8" s="188" t="s">
        <v>161</v>
      </c>
      <c r="D8" s="188" t="s">
        <v>157</v>
      </c>
      <c r="E8" s="188"/>
      <c r="F8" s="188"/>
      <c r="G8" s="233">
        <v>300</v>
      </c>
      <c r="H8" s="191" t="s">
        <v>160</v>
      </c>
      <c r="I8" s="191"/>
      <c r="J8" s="192"/>
      <c r="K8" s="156"/>
      <c r="L8" s="156"/>
      <c r="M8" s="156"/>
      <c r="N8" s="156"/>
      <c r="O8" s="156"/>
      <c r="P8" s="156"/>
      <c r="Q8" s="156"/>
      <c r="R8" s="156"/>
      <c r="S8" s="156"/>
      <c r="T8" s="156"/>
      <c r="U8" s="156"/>
      <c r="V8" s="156"/>
      <c r="W8" s="156"/>
      <c r="X8" s="156"/>
    </row>
    <row r="9" spans="1:24">
      <c r="A9" s="156"/>
      <c r="B9" s="231" t="s">
        <v>162</v>
      </c>
      <c r="C9" s="188" t="s">
        <v>163</v>
      </c>
      <c r="D9" s="188"/>
      <c r="E9" s="188"/>
      <c r="F9" s="188"/>
      <c r="G9" s="233">
        <v>500</v>
      </c>
      <c r="H9" s="191" t="s">
        <v>164</v>
      </c>
      <c r="I9" s="191"/>
      <c r="J9" s="192"/>
      <c r="K9" s="156"/>
      <c r="L9" s="156"/>
      <c r="M9" s="156"/>
      <c r="N9" s="156"/>
      <c r="O9" s="156"/>
      <c r="P9" s="156"/>
      <c r="Q9" s="156"/>
      <c r="R9" s="156"/>
      <c r="S9" s="156"/>
      <c r="T9" s="156"/>
      <c r="U9" s="156"/>
      <c r="V9" s="156"/>
      <c r="W9" s="156"/>
      <c r="X9" s="156"/>
    </row>
    <row r="10" spans="1:24">
      <c r="A10" s="156"/>
      <c r="B10" s="231"/>
      <c r="C10" s="188"/>
      <c r="D10" s="188"/>
      <c r="E10" s="188"/>
      <c r="F10" s="188"/>
      <c r="G10" s="233"/>
      <c r="H10" s="191"/>
      <c r="I10" s="191"/>
      <c r="J10" s="192"/>
      <c r="K10" s="156"/>
      <c r="L10" s="156"/>
      <c r="M10" s="156"/>
      <c r="N10" s="156"/>
      <c r="O10" s="156"/>
      <c r="P10" s="156"/>
      <c r="Q10" s="156"/>
      <c r="R10" s="156"/>
      <c r="S10" s="156"/>
      <c r="T10" s="156"/>
      <c r="U10" s="156"/>
      <c r="V10" s="156"/>
      <c r="W10" s="156"/>
      <c r="X10" s="156"/>
    </row>
    <row r="11" spans="1:24">
      <c r="A11" s="156"/>
      <c r="B11" s="231"/>
      <c r="C11" s="188"/>
      <c r="D11" s="188"/>
      <c r="E11" s="188"/>
      <c r="F11" s="188"/>
      <c r="G11" s="233"/>
      <c r="H11" s="191"/>
      <c r="I11" s="191"/>
      <c r="J11" s="192"/>
      <c r="K11" s="156"/>
      <c r="L11" s="156"/>
      <c r="M11" s="156"/>
      <c r="N11" s="156"/>
      <c r="O11" s="156"/>
      <c r="P11" s="156"/>
      <c r="Q11" s="156"/>
      <c r="R11" s="156"/>
      <c r="S11" s="156"/>
      <c r="T11" s="156"/>
      <c r="U11" s="156"/>
      <c r="V11" s="156"/>
      <c r="W11" s="156"/>
      <c r="X11" s="156"/>
    </row>
    <row r="12" spans="1:24">
      <c r="A12" s="156"/>
      <c r="B12" s="231"/>
      <c r="C12" s="188"/>
      <c r="D12" s="188"/>
      <c r="E12" s="188"/>
      <c r="F12" s="188"/>
      <c r="G12" s="233"/>
      <c r="H12" s="191"/>
      <c r="I12" s="191"/>
      <c r="J12" s="192"/>
      <c r="K12" s="156"/>
      <c r="L12" s="156"/>
      <c r="M12" s="156"/>
      <c r="N12" s="156"/>
      <c r="O12" s="156"/>
      <c r="P12" s="156"/>
      <c r="Q12" s="156"/>
      <c r="R12" s="156"/>
      <c r="S12" s="156"/>
      <c r="T12" s="156"/>
      <c r="U12" s="156"/>
      <c r="V12" s="156"/>
      <c r="W12" s="156"/>
      <c r="X12" s="156"/>
    </row>
    <row r="13" spans="1:24">
      <c r="A13" s="156"/>
      <c r="B13" s="231"/>
      <c r="C13" s="188"/>
      <c r="D13" s="188"/>
      <c r="E13" s="188"/>
      <c r="F13" s="188"/>
      <c r="G13" s="233"/>
      <c r="H13" s="191"/>
      <c r="I13" s="191"/>
      <c r="J13" s="192"/>
      <c r="K13" s="156"/>
      <c r="L13" s="156"/>
      <c r="M13" s="156"/>
      <c r="N13" s="156"/>
      <c r="O13" s="156"/>
      <c r="P13" s="156"/>
      <c r="Q13" s="156"/>
      <c r="R13" s="156"/>
      <c r="S13" s="156"/>
      <c r="T13" s="156"/>
      <c r="U13" s="156"/>
      <c r="V13" s="156"/>
      <c r="W13" s="156"/>
      <c r="X13" s="156"/>
    </row>
    <row r="14" spans="1:24">
      <c r="A14" s="156"/>
      <c r="B14" s="231"/>
      <c r="C14" s="188"/>
      <c r="D14" s="188"/>
      <c r="E14" s="188"/>
      <c r="F14" s="188"/>
      <c r="G14" s="233"/>
      <c r="H14" s="191"/>
      <c r="I14" s="191"/>
      <c r="J14" s="192"/>
      <c r="K14" s="156"/>
      <c r="L14" s="156"/>
      <c r="M14" s="156"/>
      <c r="N14" s="156"/>
      <c r="O14" s="156"/>
      <c r="P14" s="156"/>
      <c r="Q14" s="156"/>
      <c r="R14" s="156"/>
      <c r="S14" s="156"/>
      <c r="T14" s="156"/>
      <c r="U14" s="156"/>
      <c r="V14" s="156"/>
      <c r="W14" s="156"/>
      <c r="X14" s="156"/>
    </row>
    <row r="15" spans="1:24">
      <c r="A15" s="156"/>
      <c r="B15" s="231"/>
      <c r="C15" s="188"/>
      <c r="D15" s="188"/>
      <c r="E15" s="188"/>
      <c r="F15" s="188"/>
      <c r="G15" s="233"/>
      <c r="H15" s="191"/>
      <c r="I15" s="191"/>
      <c r="J15" s="192"/>
      <c r="K15" s="156"/>
      <c r="L15" s="156"/>
      <c r="M15" s="156"/>
      <c r="N15" s="156"/>
      <c r="O15" s="156"/>
      <c r="P15" s="156"/>
      <c r="Q15" s="156"/>
      <c r="R15" s="156"/>
      <c r="S15" s="156"/>
      <c r="T15" s="156"/>
      <c r="U15" s="156"/>
      <c r="V15" s="156"/>
      <c r="W15" s="156"/>
      <c r="X15" s="156"/>
    </row>
    <row r="16" spans="1:24">
      <c r="A16" s="156"/>
      <c r="B16" s="231"/>
      <c r="C16" s="188"/>
      <c r="D16" s="188"/>
      <c r="E16" s="188"/>
      <c r="F16" s="188"/>
      <c r="G16" s="233"/>
      <c r="H16" s="191"/>
      <c r="I16" s="191"/>
      <c r="J16" s="192"/>
      <c r="K16" s="156"/>
      <c r="L16" s="156"/>
      <c r="M16" s="156"/>
      <c r="N16" s="156"/>
      <c r="O16" s="156"/>
      <c r="P16" s="156"/>
      <c r="Q16" s="156"/>
      <c r="R16" s="156"/>
      <c r="S16" s="156"/>
      <c r="T16" s="156"/>
      <c r="U16" s="156"/>
      <c r="V16" s="156"/>
      <c r="W16" s="156"/>
      <c r="X16" s="156"/>
    </row>
    <row r="17" spans="1:24">
      <c r="A17" s="156"/>
      <c r="B17" s="231"/>
      <c r="C17" s="188"/>
      <c r="D17" s="188"/>
      <c r="E17" s="188"/>
      <c r="F17" s="188"/>
      <c r="G17" s="233"/>
      <c r="H17" s="191"/>
      <c r="I17" s="191"/>
      <c r="J17" s="192"/>
      <c r="K17" s="156"/>
      <c r="L17" s="156"/>
      <c r="M17" s="156"/>
      <c r="N17" s="156"/>
      <c r="O17" s="156"/>
      <c r="P17" s="156"/>
      <c r="Q17" s="156"/>
      <c r="R17" s="156"/>
      <c r="S17" s="156"/>
      <c r="T17" s="156"/>
      <c r="U17" s="156"/>
      <c r="V17" s="156"/>
      <c r="W17" s="156"/>
      <c r="X17" s="156"/>
    </row>
    <row r="18" spans="1:24">
      <c r="A18" s="156"/>
      <c r="B18" s="231"/>
      <c r="C18" s="188"/>
      <c r="D18" s="188"/>
      <c r="E18" s="188"/>
      <c r="F18" s="188"/>
      <c r="G18" s="233"/>
      <c r="H18" s="191"/>
      <c r="I18" s="191"/>
      <c r="J18" s="192"/>
      <c r="K18" s="156"/>
      <c r="L18" s="156"/>
      <c r="M18" s="156"/>
      <c r="N18" s="156"/>
      <c r="O18" s="156"/>
      <c r="P18" s="156"/>
      <c r="Q18" s="156"/>
      <c r="R18" s="156"/>
      <c r="S18" s="156"/>
      <c r="T18" s="156"/>
      <c r="U18" s="156"/>
      <c r="V18" s="156"/>
      <c r="W18" s="156"/>
      <c r="X18" s="156"/>
    </row>
    <row r="19" spans="1:24">
      <c r="A19" s="156"/>
      <c r="B19" s="231"/>
      <c r="C19" s="188"/>
      <c r="D19" s="188"/>
      <c r="E19" s="234"/>
      <c r="F19" s="234"/>
      <c r="G19" s="235"/>
      <c r="H19" s="191"/>
      <c r="I19" s="191"/>
      <c r="J19" s="192"/>
      <c r="K19" s="156"/>
      <c r="L19" s="156"/>
      <c r="M19" s="156"/>
      <c r="N19" s="156"/>
      <c r="O19" s="156"/>
      <c r="P19" s="156"/>
      <c r="Q19" s="156"/>
      <c r="R19" s="156"/>
      <c r="S19" s="156"/>
      <c r="T19" s="156"/>
      <c r="U19" s="156"/>
      <c r="V19" s="156"/>
      <c r="W19" s="156"/>
      <c r="X19" s="156"/>
    </row>
    <row r="20" spans="1:24">
      <c r="A20" s="156"/>
      <c r="B20" s="231"/>
      <c r="C20" s="188"/>
      <c r="D20" s="188"/>
      <c r="E20" s="234"/>
      <c r="F20" s="234"/>
      <c r="G20" s="235"/>
      <c r="H20" s="191"/>
      <c r="I20" s="191"/>
      <c r="J20" s="192"/>
      <c r="K20" s="156"/>
      <c r="L20" s="156"/>
      <c r="M20" s="156"/>
      <c r="N20" s="156"/>
      <c r="O20" s="156"/>
      <c r="P20" s="156"/>
      <c r="Q20" s="156"/>
      <c r="R20" s="156"/>
      <c r="S20" s="156"/>
      <c r="T20" s="156"/>
      <c r="U20" s="156"/>
      <c r="V20" s="156"/>
      <c r="W20" s="156"/>
      <c r="X20" s="156"/>
    </row>
    <row r="21" spans="1:24">
      <c r="A21" s="156"/>
      <c r="B21" s="231"/>
      <c r="C21" s="188"/>
      <c r="D21" s="188"/>
      <c r="E21" s="188"/>
      <c r="F21" s="188"/>
      <c r="G21" s="233"/>
      <c r="H21" s="191"/>
      <c r="I21" s="191"/>
      <c r="J21" s="192"/>
      <c r="K21" s="156"/>
      <c r="L21" s="156"/>
      <c r="M21" s="156"/>
      <c r="N21" s="156"/>
      <c r="O21" s="156"/>
      <c r="P21" s="156"/>
      <c r="Q21" s="156"/>
      <c r="R21" s="156"/>
      <c r="S21" s="156"/>
      <c r="T21" s="156"/>
      <c r="U21" s="156"/>
      <c r="V21" s="156"/>
      <c r="W21" s="156"/>
      <c r="X21" s="156"/>
    </row>
    <row r="22" spans="1:24">
      <c r="A22" s="156"/>
      <c r="B22" s="231"/>
      <c r="C22" s="188"/>
      <c r="D22" s="188"/>
      <c r="E22" s="188"/>
      <c r="F22" s="188"/>
      <c r="G22" s="233"/>
      <c r="H22" s="191"/>
      <c r="I22" s="191"/>
      <c r="J22" s="192"/>
      <c r="K22" s="156"/>
      <c r="L22" s="156"/>
      <c r="M22" s="156"/>
      <c r="N22" s="156"/>
      <c r="O22" s="156"/>
      <c r="P22" s="156"/>
      <c r="Q22" s="156"/>
      <c r="R22" s="156"/>
      <c r="S22" s="156"/>
      <c r="T22" s="156"/>
      <c r="U22" s="156"/>
      <c r="V22" s="156"/>
      <c r="W22" s="156"/>
      <c r="X22" s="156"/>
    </row>
    <row r="23" spans="1:24">
      <c r="A23" s="156"/>
      <c r="B23" s="231"/>
      <c r="C23" s="188"/>
      <c r="D23" s="188"/>
      <c r="E23" s="188"/>
      <c r="F23" s="188"/>
      <c r="G23" s="233"/>
      <c r="H23" s="191"/>
      <c r="I23" s="191"/>
      <c r="J23" s="192"/>
      <c r="K23" s="156"/>
      <c r="L23" s="156"/>
      <c r="M23" s="156"/>
      <c r="N23" s="156"/>
      <c r="O23" s="156"/>
      <c r="P23" s="156"/>
      <c r="Q23" s="156"/>
      <c r="R23" s="156"/>
      <c r="S23" s="156"/>
      <c r="T23" s="156"/>
      <c r="U23" s="156"/>
      <c r="V23" s="156"/>
      <c r="W23" s="156"/>
      <c r="X23" s="156"/>
    </row>
    <row r="24" spans="1:24">
      <c r="A24" s="156"/>
      <c r="B24" s="231"/>
      <c r="C24" s="188"/>
      <c r="D24" s="188"/>
      <c r="E24" s="188"/>
      <c r="F24" s="188"/>
      <c r="G24" s="233"/>
      <c r="H24" s="191"/>
      <c r="I24" s="191"/>
      <c r="J24" s="192"/>
      <c r="K24" s="156"/>
      <c r="L24" s="156"/>
      <c r="M24" s="156"/>
      <c r="N24" s="156"/>
      <c r="O24" s="156"/>
      <c r="P24" s="156"/>
      <c r="Q24" s="156"/>
      <c r="R24" s="156"/>
      <c r="S24" s="156"/>
      <c r="T24" s="156"/>
      <c r="U24" s="156"/>
      <c r="V24" s="156"/>
      <c r="W24" s="156"/>
      <c r="X24" s="156"/>
    </row>
    <row r="25" spans="1:24">
      <c r="A25" s="156"/>
      <c r="B25" s="231"/>
      <c r="C25" s="188"/>
      <c r="D25" s="188"/>
      <c r="E25" s="188"/>
      <c r="F25" s="188"/>
      <c r="G25" s="233"/>
      <c r="H25" s="191"/>
      <c r="I25" s="191"/>
      <c r="J25" s="192"/>
      <c r="K25" s="156"/>
      <c r="L25" s="156"/>
      <c r="M25" s="156"/>
      <c r="N25" s="156"/>
      <c r="O25" s="156"/>
      <c r="P25" s="156"/>
      <c r="Q25" s="156"/>
      <c r="R25" s="156"/>
      <c r="S25" s="156"/>
      <c r="T25" s="156"/>
      <c r="U25" s="156"/>
      <c r="V25" s="156"/>
      <c r="W25" s="156"/>
      <c r="X25" s="156"/>
    </row>
    <row r="26" spans="1:24">
      <c r="A26" s="156"/>
      <c r="B26" s="231"/>
      <c r="C26" s="188"/>
      <c r="D26" s="188"/>
      <c r="E26" s="188"/>
      <c r="F26" s="188"/>
      <c r="G26" s="233"/>
      <c r="H26" s="191"/>
      <c r="I26" s="191"/>
      <c r="J26" s="192"/>
      <c r="K26" s="156"/>
      <c r="L26" s="156"/>
      <c r="M26" s="156"/>
      <c r="N26" s="156"/>
      <c r="O26" s="156"/>
      <c r="P26" s="156"/>
      <c r="Q26" s="156"/>
      <c r="R26" s="156"/>
      <c r="S26" s="156"/>
      <c r="T26" s="156"/>
      <c r="U26" s="156"/>
      <c r="V26" s="156"/>
      <c r="W26" s="156"/>
      <c r="X26" s="156"/>
    </row>
    <row r="27" spans="1:24">
      <c r="A27" s="156"/>
      <c r="B27" s="231"/>
      <c r="C27" s="188"/>
      <c r="D27" s="188"/>
      <c r="E27" s="188"/>
      <c r="F27" s="188"/>
      <c r="G27" s="233"/>
      <c r="H27" s="191"/>
      <c r="I27" s="191"/>
      <c r="J27" s="192"/>
      <c r="K27" s="156"/>
      <c r="L27" s="156"/>
      <c r="M27" s="156"/>
      <c r="N27" s="156"/>
      <c r="O27" s="156"/>
      <c r="P27" s="156"/>
      <c r="Q27" s="156"/>
      <c r="R27" s="156"/>
      <c r="S27" s="156"/>
      <c r="T27" s="156"/>
      <c r="U27" s="156"/>
      <c r="V27" s="156"/>
      <c r="W27" s="156"/>
      <c r="X27" s="156"/>
    </row>
    <row r="28" spans="1:24">
      <c r="A28" s="156"/>
      <c r="B28" s="231"/>
      <c r="C28" s="188"/>
      <c r="D28" s="188"/>
      <c r="E28" s="188"/>
      <c r="F28" s="188"/>
      <c r="G28" s="233"/>
      <c r="H28" s="191"/>
      <c r="I28" s="191"/>
      <c r="J28" s="192"/>
      <c r="K28" s="156"/>
      <c r="L28" s="156"/>
      <c r="M28" s="156"/>
      <c r="N28" s="156"/>
      <c r="O28" s="156"/>
      <c r="P28" s="156"/>
      <c r="Q28" s="156"/>
      <c r="R28" s="156"/>
      <c r="S28" s="156"/>
      <c r="T28" s="156"/>
      <c r="U28" s="156"/>
      <c r="V28" s="156"/>
      <c r="W28" s="156"/>
      <c r="X28" s="156"/>
    </row>
    <row r="29" spans="1:24">
      <c r="A29" s="156"/>
      <c r="B29" s="231"/>
      <c r="C29" s="188"/>
      <c r="D29" s="188"/>
      <c r="E29" s="188"/>
      <c r="F29" s="188"/>
      <c r="G29" s="233"/>
      <c r="H29" s="191"/>
      <c r="I29" s="191"/>
      <c r="J29" s="192"/>
      <c r="K29" s="156"/>
      <c r="L29" s="156"/>
      <c r="M29" s="156"/>
      <c r="N29" s="156"/>
      <c r="O29" s="156"/>
      <c r="P29" s="156"/>
      <c r="Q29" s="156"/>
      <c r="R29" s="156"/>
      <c r="S29" s="156"/>
      <c r="T29" s="156"/>
      <c r="U29" s="156"/>
      <c r="V29" s="156"/>
      <c r="W29" s="156"/>
      <c r="X29" s="156"/>
    </row>
    <row r="30" spans="1:24">
      <c r="A30" s="156"/>
      <c r="B30" s="231"/>
      <c r="C30" s="188"/>
      <c r="D30" s="188"/>
      <c r="E30" s="188"/>
      <c r="F30" s="188"/>
      <c r="G30" s="233"/>
      <c r="H30" s="191"/>
      <c r="I30" s="191"/>
      <c r="J30" s="192"/>
      <c r="K30" s="156"/>
      <c r="L30" s="156"/>
      <c r="M30" s="156"/>
      <c r="N30" s="156"/>
      <c r="O30" s="156"/>
      <c r="P30" s="156"/>
      <c r="Q30" s="156"/>
      <c r="R30" s="156"/>
      <c r="S30" s="156"/>
      <c r="T30" s="156"/>
      <c r="U30" s="156"/>
      <c r="V30" s="156"/>
      <c r="W30" s="156"/>
      <c r="X30" s="156"/>
    </row>
    <row r="31" spans="1:24">
      <c r="A31" s="156"/>
      <c r="B31" s="231"/>
      <c r="C31" s="188"/>
      <c r="D31" s="188"/>
      <c r="E31" s="188"/>
      <c r="F31" s="188"/>
      <c r="G31" s="233"/>
      <c r="H31" s="191"/>
      <c r="I31" s="191"/>
      <c r="J31" s="192"/>
      <c r="K31" s="156"/>
      <c r="L31" s="156"/>
      <c r="M31" s="156"/>
      <c r="N31" s="156"/>
      <c r="O31" s="156"/>
      <c r="P31" s="156"/>
      <c r="Q31" s="156"/>
      <c r="R31" s="156"/>
      <c r="S31" s="156"/>
      <c r="T31" s="156"/>
      <c r="U31" s="156"/>
      <c r="V31" s="156"/>
      <c r="W31" s="156"/>
      <c r="X31" s="156"/>
    </row>
    <row r="32" spans="1:24" ht="15" thickBot="1">
      <c r="A32" s="156"/>
      <c r="B32" s="236"/>
      <c r="C32" s="237"/>
      <c r="D32" s="237"/>
      <c r="E32" s="237"/>
      <c r="F32" s="237"/>
      <c r="G32" s="238"/>
      <c r="H32" s="195"/>
      <c r="I32" s="195"/>
      <c r="J32" s="196"/>
      <c r="K32" s="156"/>
      <c r="L32" s="156"/>
      <c r="M32" s="156"/>
      <c r="N32" s="156"/>
      <c r="O32" s="156"/>
      <c r="P32" s="156"/>
      <c r="Q32" s="156"/>
      <c r="R32" s="156"/>
      <c r="S32" s="156"/>
      <c r="T32" s="156"/>
      <c r="U32" s="156"/>
      <c r="V32" s="156"/>
      <c r="W32" s="156"/>
      <c r="X32" s="156"/>
    </row>
    <row r="33" spans="1:24">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row>
    <row r="34" spans="1:2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row>
    <row r="35" spans="1:24">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row>
    <row r="36" spans="1:24">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row>
    <row r="37" spans="1:24">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row>
  </sheetData>
  <mergeCells count="4">
    <mergeCell ref="B2:F2"/>
    <mergeCell ref="H2:I2"/>
    <mergeCell ref="H3:I3"/>
    <mergeCell ref="B3:F4"/>
  </mergeCells>
  <dataValidations count="1">
    <dataValidation type="list" allowBlank="1" showInputMessage="1" showErrorMessage="1" sqref="H7:H32" xr:uid="{61B76E34-ADB8-4B08-869B-AFC26D8B747A}">
      <formula1>"Roundtrip, Oneway, Unlimited"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10A0E-D30C-4E81-B74E-6DBEDF2BEFC5}">
  <sheetPr codeName="Sheet8">
    <tabColor theme="4"/>
  </sheetPr>
  <dimension ref="A1:W39"/>
  <sheetViews>
    <sheetView workbookViewId="0">
      <selection activeCell="O11" sqref="O11"/>
    </sheetView>
  </sheetViews>
  <sheetFormatPr defaultRowHeight="14.45"/>
  <cols>
    <col min="2" max="2" width="4.140625" customWidth="1"/>
    <col min="15" max="15" width="15" customWidth="1"/>
  </cols>
  <sheetData>
    <row r="1" spans="1:23">
      <c r="A1" s="3"/>
      <c r="B1" s="3"/>
      <c r="C1" s="3"/>
      <c r="D1" s="3"/>
      <c r="E1" s="3"/>
      <c r="F1" s="3"/>
      <c r="G1" s="3"/>
      <c r="H1" s="3"/>
      <c r="I1" s="3"/>
      <c r="J1" s="3"/>
      <c r="K1" s="3"/>
      <c r="L1" s="3"/>
      <c r="M1" s="3"/>
      <c r="N1" s="3"/>
      <c r="O1" s="3"/>
      <c r="P1" s="3"/>
      <c r="Q1" s="3"/>
      <c r="R1" s="3"/>
      <c r="S1" s="3"/>
      <c r="T1" s="3"/>
      <c r="U1" s="3"/>
      <c r="V1" s="3"/>
      <c r="W1" s="3"/>
    </row>
    <row r="2" spans="1:23" ht="21">
      <c r="A2" s="107"/>
      <c r="B2" s="255" t="s">
        <v>165</v>
      </c>
      <c r="C2" s="255"/>
      <c r="D2" s="255"/>
      <c r="E2" s="255"/>
      <c r="F2" s="255"/>
      <c r="G2" s="255"/>
      <c r="H2" s="255"/>
      <c r="I2" s="255"/>
      <c r="J2" s="255"/>
      <c r="K2" s="3"/>
      <c r="L2" s="3"/>
      <c r="M2" s="3"/>
      <c r="N2" s="3"/>
      <c r="O2" s="3"/>
      <c r="P2" s="3"/>
      <c r="Q2" s="3"/>
      <c r="R2" s="3"/>
      <c r="S2" s="3"/>
      <c r="T2" s="3"/>
      <c r="U2" s="3"/>
      <c r="V2" s="3"/>
      <c r="W2" s="3"/>
    </row>
    <row r="3" spans="1:23">
      <c r="A3" s="3"/>
      <c r="B3" s="288" t="s">
        <v>166</v>
      </c>
      <c r="C3" s="288"/>
      <c r="D3" s="288"/>
      <c r="E3" s="288"/>
      <c r="F3" s="288"/>
      <c r="G3" s="288"/>
      <c r="H3" s="288"/>
      <c r="I3" s="288"/>
      <c r="J3" s="288"/>
      <c r="K3" s="288"/>
      <c r="L3" s="3"/>
      <c r="M3" s="3"/>
      <c r="N3" s="3"/>
      <c r="O3" s="3"/>
      <c r="P3" s="3"/>
      <c r="Q3" s="3"/>
      <c r="R3" s="3"/>
      <c r="S3" s="3"/>
      <c r="T3" s="3"/>
      <c r="U3" s="3"/>
      <c r="V3" s="3"/>
      <c r="W3" s="3"/>
    </row>
    <row r="4" spans="1:23">
      <c r="A4" s="3"/>
      <c r="B4" s="246"/>
      <c r="C4" s="246"/>
      <c r="D4" s="246"/>
      <c r="E4" s="246"/>
      <c r="F4" s="246"/>
      <c r="G4" s="246"/>
      <c r="H4" s="246"/>
      <c r="I4" s="246"/>
      <c r="J4" s="246"/>
      <c r="K4" s="3"/>
      <c r="L4" s="3"/>
      <c r="M4" s="3"/>
      <c r="N4" s="3"/>
      <c r="O4" s="3"/>
      <c r="P4" s="3"/>
      <c r="Q4" s="3"/>
      <c r="R4" s="3"/>
      <c r="S4" s="3"/>
      <c r="T4" s="3"/>
      <c r="U4" s="3"/>
      <c r="V4" s="3"/>
      <c r="W4" s="3"/>
    </row>
    <row r="5" spans="1:23">
      <c r="A5" s="3"/>
      <c r="B5" s="246"/>
      <c r="C5" s="246"/>
      <c r="D5" s="246"/>
      <c r="E5" s="246"/>
      <c r="F5" s="246"/>
      <c r="G5" s="246"/>
      <c r="H5" s="246"/>
      <c r="I5" s="246"/>
      <c r="J5" s="246"/>
      <c r="K5" s="3"/>
      <c r="L5" s="3"/>
      <c r="M5" s="3"/>
      <c r="N5" s="3"/>
      <c r="O5" s="3"/>
      <c r="P5" s="3"/>
      <c r="Q5" s="3"/>
      <c r="R5" s="3"/>
      <c r="S5" s="3"/>
      <c r="T5" s="3"/>
      <c r="U5" s="3"/>
      <c r="V5" s="3"/>
      <c r="W5" s="3"/>
    </row>
    <row r="6" spans="1:23" ht="15.95" thickBot="1">
      <c r="A6" s="3"/>
      <c r="B6" s="3"/>
      <c r="C6" s="132" t="s">
        <v>167</v>
      </c>
      <c r="D6" s="246"/>
      <c r="E6" s="246"/>
      <c r="F6" s="246"/>
      <c r="G6" s="246"/>
      <c r="H6" s="246"/>
      <c r="I6" s="246"/>
      <c r="J6" s="246"/>
      <c r="K6" s="3"/>
      <c r="L6" s="3"/>
      <c r="M6" s="3"/>
      <c r="N6" s="3"/>
      <c r="O6" s="3"/>
      <c r="P6" s="3"/>
      <c r="Q6" s="3"/>
      <c r="R6" s="3"/>
      <c r="S6" s="3"/>
      <c r="T6" s="3"/>
      <c r="U6" s="3"/>
      <c r="V6" s="3"/>
      <c r="W6" s="3"/>
    </row>
    <row r="7" spans="1:23" ht="15" thickBot="1">
      <c r="A7" s="3"/>
      <c r="B7" s="3"/>
      <c r="C7" s="246" t="s">
        <v>168</v>
      </c>
      <c r="D7" s="246"/>
      <c r="E7" s="246"/>
      <c r="F7" s="246"/>
      <c r="G7" s="298"/>
      <c r="H7" s="299"/>
      <c r="I7" s="3"/>
      <c r="J7" s="3"/>
      <c r="K7" s="3"/>
      <c r="L7" s="3"/>
      <c r="M7" s="3"/>
      <c r="N7" s="3"/>
      <c r="O7" s="3"/>
      <c r="P7" s="3"/>
      <c r="Q7" s="3"/>
      <c r="R7" s="3"/>
      <c r="S7" s="3"/>
      <c r="T7" s="3"/>
      <c r="U7" s="3"/>
      <c r="V7" s="3"/>
      <c r="W7" s="3"/>
    </row>
    <row r="8" spans="1:23">
      <c r="A8" s="3"/>
      <c r="B8" s="3"/>
      <c r="C8" s="3" t="s">
        <v>169</v>
      </c>
      <c r="D8" s="3"/>
      <c r="E8" s="3"/>
      <c r="F8" s="3"/>
      <c r="G8" s="300">
        <f>SUM(H10,H12,F14,I17,J19,H21)</f>
        <v>7238</v>
      </c>
      <c r="H8" s="300"/>
      <c r="I8" s="3"/>
      <c r="J8" s="3"/>
      <c r="K8" s="3"/>
      <c r="L8" s="3"/>
      <c r="M8" s="3"/>
      <c r="N8" s="3"/>
      <c r="O8" s="3"/>
      <c r="P8" s="3"/>
      <c r="Q8" s="3"/>
      <c r="R8" s="3"/>
      <c r="S8" s="3"/>
      <c r="T8" s="3"/>
      <c r="U8" s="3"/>
      <c r="V8" s="3"/>
      <c r="W8" s="3"/>
    </row>
    <row r="9" spans="1:23" ht="15.95" thickBot="1">
      <c r="A9" s="3"/>
      <c r="B9" s="3"/>
      <c r="C9" s="133" t="s">
        <v>170</v>
      </c>
      <c r="D9" s="3"/>
      <c r="E9" s="3"/>
      <c r="F9" s="3"/>
      <c r="G9" s="3"/>
      <c r="H9" s="3"/>
      <c r="I9" s="3"/>
      <c r="J9" s="3"/>
      <c r="K9" s="3"/>
      <c r="L9" s="3"/>
      <c r="M9" s="3"/>
      <c r="N9" s="3"/>
      <c r="O9" s="3"/>
      <c r="P9" s="3"/>
      <c r="Q9" s="3"/>
      <c r="R9" s="3"/>
      <c r="S9" s="3"/>
      <c r="T9" s="3"/>
      <c r="U9" s="3"/>
      <c r="V9" s="3"/>
      <c r="W9" s="3"/>
    </row>
    <row r="10" spans="1:23" ht="15" thickBot="1">
      <c r="A10" s="3"/>
      <c r="B10" s="3"/>
      <c r="C10" s="3" t="s">
        <v>171</v>
      </c>
      <c r="D10" s="3"/>
      <c r="E10" s="3"/>
      <c r="F10" s="3"/>
      <c r="G10" s="3"/>
      <c r="H10" s="295">
        <v>1500</v>
      </c>
      <c r="I10" s="296"/>
      <c r="J10" s="135"/>
      <c r="K10" s="3"/>
      <c r="L10" s="3"/>
      <c r="M10" s="3"/>
      <c r="N10" s="3"/>
      <c r="O10" s="46" t="s">
        <v>172</v>
      </c>
      <c r="P10" s="3"/>
      <c r="Q10" s="3"/>
      <c r="R10" s="3"/>
      <c r="S10" s="3"/>
      <c r="T10" s="3"/>
      <c r="U10" s="3"/>
      <c r="V10" s="3"/>
      <c r="W10" s="3"/>
    </row>
    <row r="11" spans="1:23" ht="15.95" thickBot="1">
      <c r="A11" s="3"/>
      <c r="B11" s="3"/>
      <c r="C11" s="133" t="s">
        <v>119</v>
      </c>
      <c r="D11" s="3"/>
      <c r="E11" s="3"/>
      <c r="F11" s="3"/>
      <c r="G11" s="3"/>
      <c r="H11" s="3"/>
      <c r="I11" s="3"/>
      <c r="J11" s="3"/>
      <c r="K11" s="3"/>
      <c r="L11" s="3"/>
      <c r="M11" s="3"/>
      <c r="N11" s="3"/>
      <c r="O11" s="3" t="s">
        <v>170</v>
      </c>
      <c r="P11" s="134">
        <f>H10/G8</f>
        <v>0.20723956894169659</v>
      </c>
      <c r="Q11" s="3"/>
      <c r="R11" s="3"/>
      <c r="S11" s="3"/>
      <c r="T11" s="3"/>
      <c r="U11" s="3"/>
      <c r="V11" s="3"/>
      <c r="W11" s="3"/>
    </row>
    <row r="12" spans="1:23" ht="15" thickBot="1">
      <c r="A12" s="3"/>
      <c r="B12" s="3"/>
      <c r="C12" s="3" t="s">
        <v>173</v>
      </c>
      <c r="D12" s="3"/>
      <c r="E12" s="3"/>
      <c r="F12" s="3"/>
      <c r="G12" s="3"/>
      <c r="H12" s="295">
        <f>Accomodations!F3</f>
        <v>2228</v>
      </c>
      <c r="I12" s="296"/>
      <c r="J12" s="135"/>
      <c r="K12" s="3"/>
      <c r="L12" s="3"/>
      <c r="M12" s="3"/>
      <c r="N12" s="3"/>
      <c r="O12" s="3" t="s">
        <v>63</v>
      </c>
      <c r="P12" s="134">
        <f>H12/G8</f>
        <v>0.30781983973473337</v>
      </c>
      <c r="Q12" s="3"/>
      <c r="R12" s="3"/>
      <c r="S12" s="3"/>
      <c r="T12" s="3"/>
      <c r="U12" s="3"/>
      <c r="V12" s="3"/>
      <c r="W12" s="3"/>
    </row>
    <row r="13" spans="1:23" ht="15.95" thickBot="1">
      <c r="A13" s="3"/>
      <c r="B13" s="3"/>
      <c r="C13" s="133" t="s">
        <v>174</v>
      </c>
      <c r="D13" s="3"/>
      <c r="E13" s="3"/>
      <c r="F13" s="3"/>
      <c r="G13" s="3"/>
      <c r="H13" s="3"/>
      <c r="I13" s="3"/>
      <c r="J13" s="3"/>
      <c r="K13" s="3"/>
      <c r="L13" s="3"/>
      <c r="M13" s="3"/>
      <c r="N13" s="3"/>
      <c r="O13" s="3" t="s">
        <v>174</v>
      </c>
      <c r="P13" s="134">
        <f>F15/G8</f>
        <v>7.3224647692732805E-2</v>
      </c>
      <c r="Q13" s="3"/>
      <c r="R13" s="3"/>
      <c r="S13" s="3"/>
      <c r="T13" s="3"/>
      <c r="U13" s="3"/>
      <c r="V13" s="3"/>
      <c r="W13" s="3"/>
    </row>
    <row r="14" spans="1:23" ht="15" thickBot="1">
      <c r="A14" s="3"/>
      <c r="B14" s="3"/>
      <c r="C14" s="3" t="s">
        <v>175</v>
      </c>
      <c r="D14" s="3"/>
      <c r="E14" s="3"/>
      <c r="F14" s="295">
        <v>10</v>
      </c>
      <c r="G14" s="296"/>
      <c r="H14" s="135"/>
      <c r="I14" s="3"/>
      <c r="J14" s="3"/>
      <c r="K14" s="3"/>
      <c r="L14" s="3"/>
      <c r="M14" s="3"/>
      <c r="N14" s="3"/>
      <c r="O14" s="3" t="s">
        <v>176</v>
      </c>
      <c r="P14" s="134">
        <f>I17/G8</f>
        <v>0.20723956894169659</v>
      </c>
      <c r="Q14" s="3"/>
      <c r="R14" s="3"/>
      <c r="S14" s="3"/>
      <c r="T14" s="3"/>
      <c r="U14" s="3"/>
      <c r="V14" s="3"/>
      <c r="W14" s="3"/>
    </row>
    <row r="15" spans="1:23">
      <c r="A15" s="3"/>
      <c r="B15" s="3"/>
      <c r="C15" s="3" t="s">
        <v>177</v>
      </c>
      <c r="D15" s="3"/>
      <c r="E15" s="3"/>
      <c r="F15" s="297">
        <f>F14*'Trip Dreaming'!L3</f>
        <v>530</v>
      </c>
      <c r="G15" s="297"/>
      <c r="H15" s="135"/>
      <c r="I15" s="3"/>
      <c r="J15" s="3"/>
      <c r="K15" s="3"/>
      <c r="L15" s="3"/>
      <c r="M15" s="3"/>
      <c r="N15" s="3"/>
      <c r="O15" s="3" t="s">
        <v>178</v>
      </c>
      <c r="P15" s="134">
        <f>J19/G8</f>
        <v>0.13815971262779772</v>
      </c>
      <c r="Q15" s="3"/>
      <c r="R15" s="3"/>
      <c r="S15" s="3"/>
      <c r="T15" s="3"/>
      <c r="U15" s="3"/>
      <c r="V15" s="3"/>
      <c r="W15" s="3"/>
    </row>
    <row r="16" spans="1:23" ht="15.95" thickBot="1">
      <c r="A16" s="3"/>
      <c r="B16" s="3"/>
      <c r="C16" s="133" t="s">
        <v>176</v>
      </c>
      <c r="D16" s="3"/>
      <c r="E16" s="3"/>
      <c r="F16" s="3"/>
      <c r="G16" s="3"/>
      <c r="H16" s="3"/>
      <c r="I16" s="3"/>
      <c r="J16" s="3"/>
      <c r="K16" s="3"/>
      <c r="L16" s="3"/>
      <c r="M16" s="3"/>
      <c r="N16" s="3"/>
      <c r="O16" s="3" t="s">
        <v>179</v>
      </c>
      <c r="P16" s="134">
        <f>H21/G8</f>
        <v>0.13815971262779772</v>
      </c>
      <c r="Q16" s="3"/>
      <c r="R16" s="3"/>
      <c r="S16" s="3"/>
      <c r="T16" s="3"/>
      <c r="U16" s="3"/>
      <c r="V16" s="3"/>
      <c r="W16" s="3"/>
    </row>
    <row r="17" spans="1:23" ht="15" thickBot="1">
      <c r="A17" s="3"/>
      <c r="B17" s="3"/>
      <c r="C17" s="3" t="s">
        <v>180</v>
      </c>
      <c r="D17" s="3"/>
      <c r="E17" s="3"/>
      <c r="F17" s="3"/>
      <c r="G17" s="3"/>
      <c r="H17" s="3"/>
      <c r="I17" s="295">
        <v>1500</v>
      </c>
      <c r="J17" s="296"/>
      <c r="K17" s="135"/>
      <c r="L17" s="3"/>
      <c r="M17" s="3"/>
      <c r="N17" s="3"/>
      <c r="O17" s="3"/>
      <c r="P17" s="3"/>
      <c r="Q17" s="3"/>
      <c r="R17" s="3"/>
      <c r="S17" s="3"/>
      <c r="T17" s="3"/>
      <c r="U17" s="3"/>
      <c r="V17" s="3"/>
      <c r="W17" s="3"/>
    </row>
    <row r="18" spans="1:23" ht="15.95" thickBot="1">
      <c r="A18" s="3"/>
      <c r="B18" s="3"/>
      <c r="C18" s="133" t="s">
        <v>178</v>
      </c>
      <c r="D18" s="3"/>
      <c r="E18" s="3"/>
      <c r="F18" s="3"/>
      <c r="G18" s="3"/>
      <c r="H18" s="3"/>
      <c r="I18" s="3"/>
      <c r="J18" s="3"/>
      <c r="K18" s="3"/>
      <c r="L18" s="3"/>
      <c r="M18" s="3"/>
      <c r="N18" s="3"/>
      <c r="O18" s="3"/>
      <c r="P18" s="3"/>
      <c r="Q18" s="3"/>
      <c r="R18" s="3"/>
      <c r="S18" s="3"/>
      <c r="T18" s="3"/>
      <c r="U18" s="3"/>
      <c r="V18" s="3"/>
      <c r="W18" s="3"/>
    </row>
    <row r="19" spans="1:23" ht="15" thickBot="1">
      <c r="A19" s="3"/>
      <c r="B19" s="3"/>
      <c r="C19" s="3" t="s">
        <v>181</v>
      </c>
      <c r="D19" s="3"/>
      <c r="E19" s="3"/>
      <c r="F19" s="3"/>
      <c r="G19" s="3"/>
      <c r="H19" s="3"/>
      <c r="I19" s="3"/>
      <c r="J19" s="295">
        <v>1000</v>
      </c>
      <c r="K19" s="296"/>
      <c r="L19" s="135"/>
      <c r="M19" s="3"/>
      <c r="N19" s="3"/>
      <c r="O19" s="3"/>
      <c r="P19" s="3"/>
      <c r="Q19" s="3"/>
      <c r="R19" s="3"/>
      <c r="S19" s="3"/>
      <c r="T19" s="3"/>
      <c r="U19" s="3"/>
      <c r="V19" s="3"/>
      <c r="W19" s="3"/>
    </row>
    <row r="20" spans="1:23" ht="15.95" thickBot="1">
      <c r="A20" s="3"/>
      <c r="B20" s="3"/>
      <c r="C20" s="133" t="s">
        <v>179</v>
      </c>
      <c r="D20" s="3"/>
      <c r="E20" s="3"/>
      <c r="F20" s="3"/>
      <c r="G20" s="3"/>
      <c r="H20" s="3"/>
      <c r="I20" s="3"/>
      <c r="J20" s="3"/>
      <c r="K20" s="3"/>
      <c r="L20" s="3"/>
      <c r="M20" s="3"/>
      <c r="N20" s="3"/>
      <c r="O20" s="3"/>
      <c r="P20" s="3"/>
      <c r="Q20" s="3"/>
      <c r="R20" s="3"/>
      <c r="S20" s="3"/>
      <c r="T20" s="3"/>
      <c r="U20" s="3"/>
      <c r="V20" s="3"/>
      <c r="W20" s="3"/>
    </row>
    <row r="21" spans="1:23" ht="15" thickBot="1">
      <c r="A21" s="3"/>
      <c r="B21" s="3"/>
      <c r="C21" s="3" t="s">
        <v>182</v>
      </c>
      <c r="D21" s="3"/>
      <c r="E21" s="3"/>
      <c r="F21" s="3"/>
      <c r="G21" s="3"/>
      <c r="H21" s="295">
        <v>1000</v>
      </c>
      <c r="I21" s="296"/>
      <c r="J21" s="135"/>
      <c r="K21" s="3"/>
      <c r="L21" s="3"/>
      <c r="M21" s="3"/>
      <c r="N21" s="3"/>
      <c r="O21" s="3"/>
      <c r="P21" s="3"/>
      <c r="Q21" s="3"/>
      <c r="R21" s="3"/>
      <c r="S21" s="3"/>
      <c r="T21" s="3"/>
      <c r="U21" s="3"/>
      <c r="V21" s="3"/>
      <c r="W21" s="3"/>
    </row>
    <row r="22" spans="1:23">
      <c r="A22" s="3"/>
      <c r="B22" s="3"/>
      <c r="C22" s="3"/>
      <c r="D22" s="3"/>
      <c r="E22" s="3"/>
      <c r="F22" s="3"/>
      <c r="G22" s="3"/>
      <c r="H22" s="3"/>
      <c r="I22" s="3"/>
      <c r="J22" s="3"/>
      <c r="K22" s="3"/>
      <c r="L22" s="3"/>
      <c r="M22" s="3"/>
      <c r="N22" s="3"/>
      <c r="O22" s="3"/>
      <c r="P22" s="3"/>
      <c r="Q22" s="3"/>
      <c r="R22" s="3"/>
      <c r="S22" s="3"/>
      <c r="T22" s="3"/>
      <c r="U22" s="3"/>
      <c r="V22" s="3"/>
      <c r="W22" s="3"/>
    </row>
    <row r="23" spans="1:23">
      <c r="A23" s="3"/>
      <c r="B23" s="3"/>
      <c r="C23" s="3"/>
      <c r="D23" s="3"/>
      <c r="E23" s="3"/>
      <c r="F23" s="3"/>
      <c r="G23" s="3"/>
      <c r="H23" s="3"/>
      <c r="I23" s="3"/>
      <c r="J23" s="3"/>
      <c r="K23" s="3"/>
      <c r="L23" s="3"/>
      <c r="M23" s="3"/>
      <c r="N23" s="3"/>
      <c r="O23" s="3"/>
      <c r="P23" s="3"/>
      <c r="Q23" s="3"/>
      <c r="R23" s="3"/>
      <c r="S23" s="3"/>
      <c r="T23" s="3"/>
      <c r="U23" s="3"/>
      <c r="V23" s="3"/>
      <c r="W23" s="3"/>
    </row>
    <row r="24" spans="1:23">
      <c r="A24" s="3"/>
      <c r="B24" s="3"/>
      <c r="C24" s="3"/>
      <c r="D24" s="3"/>
      <c r="E24" s="3"/>
      <c r="F24" s="3"/>
      <c r="G24" s="3"/>
      <c r="H24" s="3"/>
      <c r="I24" s="3"/>
      <c r="J24" s="3"/>
      <c r="K24" s="3"/>
      <c r="L24" s="3"/>
      <c r="M24" s="3"/>
      <c r="N24" s="3"/>
      <c r="O24" s="3"/>
      <c r="P24" s="3"/>
      <c r="Q24" s="3"/>
      <c r="R24" s="3"/>
      <c r="S24" s="3"/>
      <c r="T24" s="3"/>
      <c r="U24" s="3"/>
      <c r="V24" s="3"/>
      <c r="W24" s="3"/>
    </row>
    <row r="25" spans="1:23">
      <c r="A25" s="3"/>
      <c r="B25" s="3"/>
      <c r="C25" s="3"/>
      <c r="D25" s="3"/>
      <c r="E25" s="3"/>
      <c r="F25" s="3"/>
      <c r="G25" s="3"/>
      <c r="H25" s="3"/>
      <c r="I25" s="3"/>
      <c r="J25" s="3"/>
      <c r="K25" s="3"/>
      <c r="L25" s="3"/>
      <c r="M25" s="3"/>
      <c r="N25" s="3"/>
      <c r="O25" s="3"/>
      <c r="P25" s="3"/>
      <c r="Q25" s="3"/>
      <c r="R25" s="3"/>
      <c r="S25" s="3"/>
      <c r="T25" s="3"/>
      <c r="U25" s="3"/>
      <c r="V25" s="3"/>
      <c r="W25" s="3"/>
    </row>
    <row r="26" spans="1:23">
      <c r="A26" s="3"/>
      <c r="B26" s="3"/>
      <c r="C26" s="3"/>
      <c r="D26" s="3"/>
      <c r="E26" s="3"/>
      <c r="F26" s="3"/>
      <c r="G26" s="3"/>
      <c r="H26" s="3"/>
      <c r="I26" s="3"/>
      <c r="J26" s="3"/>
      <c r="K26" s="3"/>
      <c r="L26" s="3"/>
      <c r="M26" s="3"/>
      <c r="N26" s="3"/>
      <c r="O26" s="3"/>
      <c r="P26" s="3"/>
      <c r="Q26" s="3"/>
      <c r="R26" s="3"/>
      <c r="S26" s="3"/>
      <c r="T26" s="3"/>
      <c r="U26" s="3"/>
      <c r="V26" s="3"/>
      <c r="W26" s="3"/>
    </row>
    <row r="27" spans="1:23">
      <c r="A27" s="3"/>
      <c r="B27" s="3"/>
      <c r="C27" s="3"/>
      <c r="D27" s="3"/>
      <c r="E27" s="3"/>
      <c r="F27" s="3"/>
      <c r="G27" s="3"/>
      <c r="H27" s="3"/>
      <c r="I27" s="3"/>
      <c r="J27" s="3"/>
      <c r="K27" s="3"/>
      <c r="L27" s="3"/>
      <c r="M27" s="3"/>
      <c r="N27" s="3"/>
      <c r="O27" s="3"/>
      <c r="P27" s="3"/>
      <c r="Q27" s="3"/>
      <c r="R27" s="3"/>
      <c r="S27" s="3"/>
      <c r="T27" s="3"/>
      <c r="U27" s="3"/>
      <c r="V27" s="3"/>
      <c r="W27" s="3"/>
    </row>
    <row r="28" spans="1:23">
      <c r="A28" s="3"/>
      <c r="B28" s="3"/>
      <c r="C28" s="3"/>
      <c r="D28" s="3"/>
      <c r="E28" s="3"/>
      <c r="F28" s="3"/>
      <c r="G28" s="3"/>
      <c r="H28" s="3"/>
      <c r="I28" s="186"/>
      <c r="J28" s="3"/>
      <c r="K28" s="3"/>
      <c r="L28" s="3"/>
      <c r="M28" s="3"/>
      <c r="N28" s="3"/>
      <c r="O28" s="3"/>
      <c r="P28" s="3"/>
      <c r="Q28" s="3"/>
      <c r="R28" s="3"/>
      <c r="S28" s="3"/>
      <c r="T28" s="3"/>
      <c r="U28" s="3"/>
      <c r="V28" s="3"/>
      <c r="W28" s="3"/>
    </row>
    <row r="29" spans="1:23">
      <c r="A29" s="3"/>
      <c r="B29" s="3"/>
      <c r="C29" s="3"/>
      <c r="D29" s="3"/>
      <c r="E29" s="3"/>
      <c r="F29" s="3"/>
      <c r="G29" s="3"/>
      <c r="H29" s="3"/>
      <c r="I29" s="3"/>
      <c r="J29" s="3"/>
      <c r="K29" s="3"/>
      <c r="L29" s="3"/>
      <c r="M29" s="3"/>
      <c r="N29" s="3"/>
      <c r="O29" s="3"/>
      <c r="P29" s="3"/>
      <c r="Q29" s="3"/>
      <c r="R29" s="3"/>
      <c r="S29" s="3"/>
      <c r="T29" s="3"/>
      <c r="U29" s="3"/>
      <c r="V29" s="3"/>
      <c r="W29" s="3"/>
    </row>
    <row r="30" spans="1:23">
      <c r="A30" s="3"/>
      <c r="B30" s="3"/>
      <c r="C30" s="3"/>
      <c r="D30" s="3"/>
      <c r="E30" s="3"/>
      <c r="F30" s="3"/>
      <c r="G30" s="3"/>
      <c r="H30" s="3"/>
      <c r="I30" s="3"/>
      <c r="J30" s="3"/>
      <c r="K30" s="3"/>
      <c r="L30" s="3"/>
      <c r="M30" s="3"/>
      <c r="N30" s="3"/>
      <c r="O30" s="3"/>
      <c r="P30" s="3"/>
      <c r="Q30" s="3"/>
      <c r="R30" s="3"/>
      <c r="S30" s="3"/>
      <c r="T30" s="3"/>
      <c r="U30" s="3"/>
      <c r="V30" s="3"/>
      <c r="W30" s="3"/>
    </row>
    <row r="31" spans="1:23">
      <c r="A31" s="3"/>
      <c r="B31" s="3"/>
      <c r="C31" s="3"/>
      <c r="D31" s="3"/>
      <c r="E31" s="3"/>
      <c r="F31" s="3"/>
      <c r="G31" s="3"/>
      <c r="H31" s="3"/>
      <c r="I31" s="3"/>
      <c r="J31" s="3"/>
      <c r="K31" s="3"/>
      <c r="L31" s="3"/>
      <c r="M31" s="3"/>
      <c r="N31" s="3"/>
      <c r="O31" s="3"/>
      <c r="P31" s="3"/>
      <c r="Q31" s="3"/>
      <c r="R31" s="3"/>
      <c r="S31" s="3"/>
      <c r="T31" s="3"/>
      <c r="U31" s="3"/>
      <c r="V31" s="3"/>
      <c r="W31" s="3"/>
    </row>
    <row r="32" spans="1:23">
      <c r="A32" s="3"/>
      <c r="B32" s="3"/>
      <c r="C32" s="3"/>
      <c r="D32" s="3"/>
      <c r="E32" s="3"/>
      <c r="F32" s="3"/>
      <c r="G32" s="3"/>
      <c r="H32" s="3"/>
      <c r="I32" s="3"/>
      <c r="J32" s="3"/>
      <c r="K32" s="3"/>
      <c r="L32" s="3"/>
      <c r="M32" s="3"/>
      <c r="N32" s="3"/>
      <c r="O32" s="3"/>
      <c r="P32" s="3"/>
      <c r="Q32" s="3"/>
      <c r="R32" s="3"/>
      <c r="S32" s="3"/>
      <c r="T32" s="3"/>
      <c r="U32" s="3"/>
      <c r="V32" s="3"/>
      <c r="W32" s="3"/>
    </row>
    <row r="33" spans="1:23">
      <c r="A33" s="3"/>
      <c r="B33" s="3"/>
      <c r="C33" s="3"/>
      <c r="D33" s="3"/>
      <c r="E33" s="3"/>
      <c r="F33" s="3"/>
      <c r="G33" s="3"/>
      <c r="H33" s="3"/>
      <c r="I33" s="3"/>
      <c r="J33" s="3"/>
      <c r="K33" s="3"/>
      <c r="L33" s="3"/>
      <c r="M33" s="3"/>
      <c r="N33" s="3"/>
      <c r="O33" s="3"/>
      <c r="P33" s="3"/>
      <c r="Q33" s="3"/>
      <c r="R33" s="3"/>
      <c r="S33" s="3"/>
      <c r="T33" s="3"/>
      <c r="U33" s="3"/>
      <c r="V33" s="3"/>
      <c r="W33" s="3"/>
    </row>
    <row r="34" spans="1:23">
      <c r="A34" s="3"/>
      <c r="B34" s="3"/>
      <c r="C34" s="3"/>
      <c r="D34" s="3"/>
      <c r="E34" s="3"/>
      <c r="F34" s="3"/>
      <c r="G34" s="3"/>
      <c r="H34" s="3"/>
      <c r="I34" s="3"/>
      <c r="J34" s="3"/>
      <c r="K34" s="3"/>
      <c r="L34" s="3"/>
      <c r="M34" s="3"/>
      <c r="N34" s="3"/>
      <c r="O34" s="3"/>
      <c r="P34" s="3"/>
      <c r="Q34" s="3"/>
      <c r="R34" s="3"/>
      <c r="S34" s="3"/>
      <c r="T34" s="3"/>
      <c r="U34" s="3"/>
      <c r="V34" s="3"/>
      <c r="W34" s="3"/>
    </row>
    <row r="35" spans="1:23">
      <c r="A35" s="3"/>
      <c r="B35" s="3"/>
      <c r="C35" s="3"/>
      <c r="D35" s="3"/>
      <c r="E35" s="3"/>
      <c r="F35" s="3"/>
      <c r="G35" s="3"/>
      <c r="H35" s="3"/>
      <c r="I35" s="3"/>
      <c r="J35" s="3"/>
      <c r="K35" s="3"/>
      <c r="L35" s="3"/>
      <c r="M35" s="3"/>
      <c r="N35" s="3"/>
      <c r="O35" s="3"/>
      <c r="P35" s="3"/>
      <c r="Q35" s="3"/>
      <c r="R35" s="3"/>
      <c r="S35" s="3"/>
      <c r="T35" s="3"/>
      <c r="U35" s="3"/>
      <c r="V35" s="3"/>
      <c r="W35" s="3"/>
    </row>
    <row r="36" spans="1:23">
      <c r="A36" s="3"/>
      <c r="B36" s="3"/>
      <c r="C36" s="3"/>
      <c r="D36" s="3"/>
      <c r="E36" s="3"/>
      <c r="F36" s="3"/>
      <c r="G36" s="3"/>
      <c r="H36" s="3"/>
      <c r="I36" s="3"/>
      <c r="J36" s="3"/>
      <c r="K36" s="3"/>
      <c r="L36" s="3"/>
      <c r="M36" s="3"/>
      <c r="N36" s="3"/>
      <c r="O36" s="3"/>
      <c r="P36" s="3"/>
      <c r="Q36" s="3"/>
      <c r="R36" s="3"/>
      <c r="S36" s="3"/>
      <c r="T36" s="3"/>
      <c r="U36" s="3"/>
      <c r="V36" s="3"/>
      <c r="W36" s="3"/>
    </row>
    <row r="37" spans="1:23">
      <c r="A37" s="3"/>
      <c r="B37" s="3"/>
      <c r="C37" s="3"/>
      <c r="D37" s="3"/>
      <c r="E37" s="3"/>
      <c r="F37" s="3"/>
      <c r="G37" s="3"/>
      <c r="H37" s="3"/>
      <c r="I37" s="3"/>
      <c r="J37" s="3"/>
      <c r="K37" s="3"/>
      <c r="L37" s="3"/>
      <c r="M37" s="3"/>
      <c r="N37" s="3"/>
      <c r="O37" s="3"/>
      <c r="P37" s="3"/>
      <c r="Q37" s="3"/>
      <c r="R37" s="3"/>
      <c r="S37" s="3"/>
      <c r="T37" s="3"/>
      <c r="U37" s="3"/>
      <c r="V37" s="3"/>
      <c r="W37" s="3"/>
    </row>
    <row r="38" spans="1:23">
      <c r="A38" s="3"/>
      <c r="B38" s="3"/>
      <c r="C38" s="3"/>
      <c r="D38" s="3"/>
      <c r="E38" s="3"/>
      <c r="F38" s="3"/>
      <c r="G38" s="3"/>
      <c r="H38" s="3"/>
      <c r="I38" s="3"/>
      <c r="J38" s="3"/>
      <c r="K38" s="3"/>
      <c r="L38" s="3"/>
      <c r="M38" s="3"/>
      <c r="N38" s="3"/>
      <c r="O38" s="3"/>
      <c r="P38" s="3"/>
      <c r="Q38" s="3"/>
      <c r="R38" s="3"/>
      <c r="S38" s="3"/>
      <c r="T38" s="3"/>
      <c r="U38" s="3"/>
      <c r="V38" s="3"/>
      <c r="W38" s="3"/>
    </row>
    <row r="39" spans="1:23">
      <c r="A39" s="3"/>
      <c r="B39" s="3"/>
      <c r="C39" s="3"/>
      <c r="D39" s="3"/>
      <c r="E39" s="3"/>
      <c r="F39" s="3"/>
      <c r="G39" s="3"/>
      <c r="H39" s="3"/>
      <c r="I39" s="3"/>
      <c r="J39" s="3"/>
      <c r="K39" s="3"/>
      <c r="L39" s="3"/>
      <c r="M39" s="3"/>
      <c r="N39" s="3"/>
      <c r="O39" s="3"/>
      <c r="P39" s="3"/>
      <c r="Q39" s="3"/>
      <c r="R39" s="3"/>
      <c r="S39" s="3"/>
      <c r="T39" s="3"/>
      <c r="U39" s="3"/>
      <c r="V39" s="3"/>
      <c r="W39" s="3"/>
    </row>
  </sheetData>
  <mergeCells count="11">
    <mergeCell ref="B2:J2"/>
    <mergeCell ref="B3:K3"/>
    <mergeCell ref="H21:I21"/>
    <mergeCell ref="F15:G15"/>
    <mergeCell ref="G7:H7"/>
    <mergeCell ref="G8:H8"/>
    <mergeCell ref="H10:I10"/>
    <mergeCell ref="H12:I12"/>
    <mergeCell ref="F14:G14"/>
    <mergeCell ref="I17:J17"/>
    <mergeCell ref="J19:K19"/>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BD74-CCB4-4CC5-8C84-6A801B23B4B8}">
  <sheetPr codeName="Sheet9">
    <tabColor theme="7"/>
  </sheetPr>
  <dimension ref="A1:V34"/>
  <sheetViews>
    <sheetView showGridLines="0" zoomScaleNormal="100" workbookViewId="0">
      <selection activeCell="I19" sqref="I19:J19"/>
    </sheetView>
  </sheetViews>
  <sheetFormatPr defaultRowHeight="14.45"/>
  <sheetData>
    <row r="1" spans="1:22">
      <c r="A1" s="165"/>
      <c r="B1" s="166"/>
      <c r="C1" s="166"/>
      <c r="D1" s="166"/>
      <c r="E1" s="166"/>
      <c r="F1" s="166"/>
      <c r="G1" s="166"/>
      <c r="H1" s="166"/>
      <c r="I1" s="166"/>
      <c r="J1" s="166"/>
      <c r="K1" s="167"/>
      <c r="L1" s="168"/>
      <c r="M1" s="169"/>
      <c r="N1" s="169"/>
      <c r="O1" s="169"/>
      <c r="P1" s="169"/>
      <c r="Q1" s="169"/>
      <c r="R1" s="169"/>
      <c r="S1" s="169"/>
      <c r="T1" s="169"/>
      <c r="U1" s="169"/>
      <c r="V1" s="170"/>
    </row>
    <row r="2" spans="1:22" ht="21">
      <c r="A2" s="171"/>
      <c r="B2" s="309" t="s">
        <v>183</v>
      </c>
      <c r="C2" s="309"/>
      <c r="D2" s="309"/>
      <c r="E2" s="309"/>
      <c r="F2" s="309"/>
      <c r="G2" s="309"/>
      <c r="H2" s="309"/>
      <c r="I2" s="309"/>
      <c r="J2" s="309"/>
      <c r="K2" s="172"/>
      <c r="L2" s="173"/>
      <c r="M2" s="310" t="s">
        <v>184</v>
      </c>
      <c r="N2" s="310"/>
      <c r="O2" s="310"/>
      <c r="P2" s="310"/>
      <c r="Q2" s="310"/>
      <c r="R2" s="310"/>
      <c r="S2" s="310"/>
      <c r="T2" s="310"/>
      <c r="U2" s="310"/>
      <c r="V2" s="174"/>
    </row>
    <row r="3" spans="1:22">
      <c r="A3" s="171"/>
      <c r="B3" s="163" t="s">
        <v>185</v>
      </c>
      <c r="C3" s="163"/>
      <c r="D3" s="163"/>
      <c r="E3" s="163"/>
      <c r="F3" s="163"/>
      <c r="G3" s="163"/>
      <c r="H3" s="163"/>
      <c r="I3" s="163"/>
      <c r="J3" s="163"/>
      <c r="K3" s="172"/>
      <c r="L3" s="173"/>
      <c r="M3" s="175" t="s">
        <v>186</v>
      </c>
      <c r="N3" s="175"/>
      <c r="O3" s="175"/>
      <c r="P3" s="175"/>
      <c r="Q3" s="175"/>
      <c r="R3" s="175"/>
      <c r="S3" s="175"/>
      <c r="T3" s="175"/>
      <c r="U3" s="175"/>
      <c r="V3" s="174"/>
    </row>
    <row r="4" spans="1:22">
      <c r="A4" s="171"/>
      <c r="B4" s="163"/>
      <c r="C4" s="163"/>
      <c r="D4" s="163"/>
      <c r="E4" s="163"/>
      <c r="F4" s="163"/>
      <c r="G4" s="163"/>
      <c r="H4" s="163"/>
      <c r="I4" s="163"/>
      <c r="J4" s="163"/>
      <c r="K4" s="172"/>
      <c r="L4" s="173"/>
      <c r="M4" s="175"/>
      <c r="N4" s="175"/>
      <c r="O4" s="175"/>
      <c r="P4" s="175"/>
      <c r="Q4" s="175"/>
      <c r="R4" s="175"/>
      <c r="S4" s="175"/>
      <c r="T4" s="175"/>
      <c r="U4" s="175"/>
      <c r="V4" s="174"/>
    </row>
    <row r="5" spans="1:22" ht="15" thickBot="1">
      <c r="A5" s="171"/>
      <c r="B5" s="164" t="s">
        <v>167</v>
      </c>
      <c r="C5" s="163"/>
      <c r="D5" s="163"/>
      <c r="E5" s="163"/>
      <c r="F5" s="163"/>
      <c r="G5" s="163"/>
      <c r="H5" s="163"/>
      <c r="I5" s="163"/>
      <c r="J5" s="163"/>
      <c r="K5" s="172"/>
      <c r="L5" s="173"/>
      <c r="M5" s="183" t="s">
        <v>167</v>
      </c>
      <c r="N5" s="175"/>
      <c r="O5" s="175"/>
      <c r="P5" s="175"/>
      <c r="Q5" s="175"/>
      <c r="R5" s="175"/>
      <c r="S5" s="175"/>
      <c r="T5" s="175"/>
      <c r="U5" s="175"/>
      <c r="V5" s="174"/>
    </row>
    <row r="6" spans="1:22" ht="15" thickBot="1">
      <c r="A6" s="171"/>
      <c r="B6" s="182" t="s">
        <v>187</v>
      </c>
      <c r="C6" s="163"/>
      <c r="D6" s="163"/>
      <c r="E6" s="163"/>
      <c r="F6" s="163"/>
      <c r="G6" s="163"/>
      <c r="H6" s="163"/>
      <c r="I6" s="305">
        <f>SUM(I8,I10,I13,I15,I17,I19)</f>
        <v>1500</v>
      </c>
      <c r="J6" s="306"/>
      <c r="K6" s="172"/>
      <c r="L6" s="173"/>
      <c r="M6" s="185" t="s">
        <v>188</v>
      </c>
      <c r="N6" s="175"/>
      <c r="O6" s="175"/>
      <c r="P6" s="175"/>
      <c r="Q6" s="175"/>
      <c r="R6" s="175"/>
      <c r="S6" s="175"/>
      <c r="T6" s="303">
        <v>5000</v>
      </c>
      <c r="U6" s="304"/>
      <c r="V6" s="174"/>
    </row>
    <row r="7" spans="1:22" ht="15" thickBot="1">
      <c r="A7" s="171"/>
      <c r="B7" s="46" t="s">
        <v>170</v>
      </c>
      <c r="C7" s="163"/>
      <c r="D7" s="163"/>
      <c r="E7" s="163"/>
      <c r="F7" s="163"/>
      <c r="G7" s="163"/>
      <c r="H7" s="163"/>
      <c r="I7" s="163"/>
      <c r="J7" s="163"/>
      <c r="K7" s="172"/>
      <c r="L7" s="173"/>
      <c r="M7" s="184" t="s">
        <v>170</v>
      </c>
      <c r="N7" s="175"/>
      <c r="O7" s="175"/>
      <c r="P7" s="175"/>
      <c r="Q7" s="175"/>
      <c r="R7" s="175"/>
      <c r="S7" s="175"/>
      <c r="T7" s="175"/>
      <c r="U7" s="175"/>
      <c r="V7" s="174"/>
    </row>
    <row r="8" spans="1:22" ht="15" thickBot="1">
      <c r="A8" s="171"/>
      <c r="B8" s="182" t="s">
        <v>171</v>
      </c>
      <c r="C8" s="163"/>
      <c r="D8" s="163"/>
      <c r="E8" s="163"/>
      <c r="F8" s="163"/>
      <c r="G8" s="163"/>
      <c r="H8" s="163"/>
      <c r="I8" s="303">
        <v>1500</v>
      </c>
      <c r="J8" s="304"/>
      <c r="K8" s="172"/>
      <c r="L8" s="173"/>
      <c r="M8" s="185" t="s">
        <v>171</v>
      </c>
      <c r="N8" s="175"/>
      <c r="O8" s="175"/>
      <c r="P8" s="175"/>
      <c r="Q8" s="175"/>
      <c r="R8" s="175"/>
      <c r="S8" s="175"/>
      <c r="T8" s="305">
        <f>SUM(Transportation!H3)</f>
        <v>910</v>
      </c>
      <c r="U8" s="306"/>
      <c r="V8" s="174"/>
    </row>
    <row r="9" spans="1:22" ht="15" thickBot="1">
      <c r="A9" s="171"/>
      <c r="B9" s="46" t="s">
        <v>119</v>
      </c>
      <c r="C9" s="163"/>
      <c r="D9" s="163"/>
      <c r="E9" s="163"/>
      <c r="F9" s="163"/>
      <c r="G9" s="163"/>
      <c r="H9" s="163"/>
      <c r="I9" s="163"/>
      <c r="J9" s="163"/>
      <c r="K9" s="172"/>
      <c r="L9" s="173"/>
      <c r="M9" s="184" t="s">
        <v>119</v>
      </c>
      <c r="N9" s="175"/>
      <c r="O9" s="175"/>
      <c r="P9" s="175"/>
      <c r="Q9" s="175"/>
      <c r="R9" s="175"/>
      <c r="S9" s="175"/>
      <c r="T9" s="175"/>
      <c r="U9" s="175"/>
      <c r="V9" s="174"/>
    </row>
    <row r="10" spans="1:22" ht="15" thickBot="1">
      <c r="A10" s="171"/>
      <c r="B10" s="182" t="s">
        <v>173</v>
      </c>
      <c r="C10" s="163"/>
      <c r="D10" s="163"/>
      <c r="E10" s="163"/>
      <c r="F10" s="163"/>
      <c r="G10" s="163"/>
      <c r="H10" s="163"/>
      <c r="I10" s="311"/>
      <c r="J10" s="312"/>
      <c r="K10" s="172"/>
      <c r="L10" s="173"/>
      <c r="M10" s="185" t="s">
        <v>173</v>
      </c>
      <c r="N10" s="175"/>
      <c r="O10" s="175"/>
      <c r="P10" s="175"/>
      <c r="Q10" s="175"/>
      <c r="R10" s="175"/>
      <c r="S10" s="175"/>
      <c r="T10" s="305">
        <f>Accomodations!F3</f>
        <v>2228</v>
      </c>
      <c r="U10" s="306"/>
      <c r="V10" s="174"/>
    </row>
    <row r="11" spans="1:22" ht="15" thickBot="1">
      <c r="A11" s="171"/>
      <c r="B11" s="46" t="s">
        <v>174</v>
      </c>
      <c r="C11" s="163"/>
      <c r="D11" s="163"/>
      <c r="E11" s="163"/>
      <c r="F11" s="163"/>
      <c r="G11" s="163"/>
      <c r="H11" s="163"/>
      <c r="I11" s="163"/>
      <c r="J11" s="163"/>
      <c r="K11" s="172"/>
      <c r="L11" s="173"/>
      <c r="M11" s="184" t="s">
        <v>174</v>
      </c>
      <c r="N11" s="175"/>
      <c r="O11" s="175"/>
      <c r="P11" s="175"/>
      <c r="Q11" s="175"/>
      <c r="R11" s="175"/>
      <c r="S11" s="175"/>
      <c r="T11" s="175"/>
      <c r="U11" s="175"/>
      <c r="V11" s="174"/>
    </row>
    <row r="12" spans="1:22" ht="15" thickBot="1">
      <c r="A12" s="171"/>
      <c r="B12" s="182" t="s">
        <v>175</v>
      </c>
      <c r="C12" s="163"/>
      <c r="D12" s="163"/>
      <c r="E12" s="163"/>
      <c r="F12" s="163"/>
      <c r="G12" s="163"/>
      <c r="H12" s="163"/>
      <c r="I12" s="313"/>
      <c r="J12" s="314"/>
      <c r="K12" s="172"/>
      <c r="L12" s="173"/>
      <c r="M12" s="185" t="s">
        <v>175</v>
      </c>
      <c r="N12" s="175"/>
      <c r="O12" s="175"/>
      <c r="P12" s="175"/>
      <c r="Q12" s="175"/>
      <c r="R12" s="175"/>
      <c r="S12" s="175"/>
      <c r="T12" s="307">
        <v>10</v>
      </c>
      <c r="U12" s="308"/>
      <c r="V12" s="174"/>
    </row>
    <row r="13" spans="1:22" ht="15" thickBot="1">
      <c r="A13" s="171"/>
      <c r="B13" s="182" t="s">
        <v>177</v>
      </c>
      <c r="C13" s="163"/>
      <c r="D13" s="163"/>
      <c r="E13" s="163"/>
      <c r="F13" s="163"/>
      <c r="G13" s="163"/>
      <c r="H13" s="163"/>
      <c r="I13" s="303"/>
      <c r="J13" s="304"/>
      <c r="K13" s="172"/>
      <c r="L13" s="173"/>
      <c r="M13" s="185" t="s">
        <v>177</v>
      </c>
      <c r="N13" s="175"/>
      <c r="O13" s="175"/>
      <c r="P13" s="175"/>
      <c r="Q13" s="175"/>
      <c r="R13" s="175"/>
      <c r="S13" s="175"/>
      <c r="T13" s="305">
        <f>T12*'Trip Dreaming'!L3</f>
        <v>530</v>
      </c>
      <c r="U13" s="306"/>
      <c r="V13" s="174"/>
    </row>
    <row r="14" spans="1:22" ht="15" thickBot="1">
      <c r="A14" s="171"/>
      <c r="B14" s="46" t="s">
        <v>176</v>
      </c>
      <c r="C14" s="163"/>
      <c r="D14" s="163"/>
      <c r="E14" s="163"/>
      <c r="F14" s="163"/>
      <c r="G14" s="163"/>
      <c r="H14" s="163"/>
      <c r="I14" s="163"/>
      <c r="J14" s="163"/>
      <c r="K14" s="172"/>
      <c r="L14" s="173"/>
      <c r="M14" s="184" t="s">
        <v>176</v>
      </c>
      <c r="N14" s="175"/>
      <c r="O14" s="175"/>
      <c r="P14" s="175"/>
      <c r="Q14" s="175"/>
      <c r="R14" s="175"/>
      <c r="S14" s="175"/>
      <c r="T14" s="175"/>
      <c r="U14" s="175"/>
      <c r="V14" s="174"/>
    </row>
    <row r="15" spans="1:22" ht="15" thickBot="1">
      <c r="A15" s="171"/>
      <c r="B15" s="182" t="s">
        <v>180</v>
      </c>
      <c r="C15" s="163"/>
      <c r="D15" s="163"/>
      <c r="E15" s="163"/>
      <c r="F15" s="163"/>
      <c r="G15" s="163"/>
      <c r="H15" s="163"/>
      <c r="I15" s="303"/>
      <c r="J15" s="304"/>
      <c r="K15" s="172"/>
      <c r="L15" s="173"/>
      <c r="M15" s="185" t="s">
        <v>180</v>
      </c>
      <c r="N15" s="175"/>
      <c r="O15" s="175"/>
      <c r="P15" s="175"/>
      <c r="Q15" s="175"/>
      <c r="R15" s="175"/>
      <c r="S15" s="175"/>
      <c r="T15" s="303"/>
      <c r="U15" s="304"/>
      <c r="V15" s="174"/>
    </row>
    <row r="16" spans="1:22" ht="15" thickBot="1">
      <c r="A16" s="171"/>
      <c r="B16" s="46" t="s">
        <v>178</v>
      </c>
      <c r="C16" s="163"/>
      <c r="D16" s="163"/>
      <c r="E16" s="163"/>
      <c r="F16" s="163"/>
      <c r="G16" s="163"/>
      <c r="H16" s="163"/>
      <c r="I16" s="163"/>
      <c r="J16" s="163"/>
      <c r="K16" s="172"/>
      <c r="L16" s="173"/>
      <c r="M16" s="184" t="s">
        <v>178</v>
      </c>
      <c r="N16" s="175"/>
      <c r="O16" s="175"/>
      <c r="P16" s="175"/>
      <c r="Q16" s="175"/>
      <c r="R16" s="175"/>
      <c r="S16" s="175"/>
      <c r="T16" s="175"/>
      <c r="U16" s="175"/>
      <c r="V16" s="174"/>
    </row>
    <row r="17" spans="1:22" ht="15" thickBot="1">
      <c r="A17" s="171"/>
      <c r="B17" s="182" t="s">
        <v>181</v>
      </c>
      <c r="C17" s="163"/>
      <c r="D17" s="163"/>
      <c r="E17" s="163"/>
      <c r="F17" s="163"/>
      <c r="G17" s="163"/>
      <c r="H17" s="163"/>
      <c r="I17" s="303"/>
      <c r="J17" s="304"/>
      <c r="K17" s="172"/>
      <c r="L17" s="173"/>
      <c r="M17" s="185" t="s">
        <v>181</v>
      </c>
      <c r="N17" s="175"/>
      <c r="O17" s="175"/>
      <c r="P17" s="175"/>
      <c r="Q17" s="175"/>
      <c r="R17" s="175"/>
      <c r="S17" s="175"/>
      <c r="T17" s="303"/>
      <c r="U17" s="304"/>
      <c r="V17" s="174"/>
    </row>
    <row r="18" spans="1:22" ht="15" thickBot="1">
      <c r="A18" s="171"/>
      <c r="B18" s="46" t="s">
        <v>179</v>
      </c>
      <c r="C18" s="163"/>
      <c r="D18" s="163"/>
      <c r="E18" s="163"/>
      <c r="F18" s="163"/>
      <c r="G18" s="163"/>
      <c r="H18" s="163"/>
      <c r="I18" s="163"/>
      <c r="J18" s="163"/>
      <c r="K18" s="172"/>
      <c r="L18" s="173"/>
      <c r="M18" s="184" t="s">
        <v>179</v>
      </c>
      <c r="N18" s="175"/>
      <c r="O18" s="175"/>
      <c r="P18" s="175"/>
      <c r="Q18" s="175"/>
      <c r="R18" s="175"/>
      <c r="S18" s="175"/>
      <c r="T18" s="175"/>
      <c r="U18" s="175"/>
      <c r="V18" s="174"/>
    </row>
    <row r="19" spans="1:22" ht="15" thickBot="1">
      <c r="A19" s="171"/>
      <c r="B19" s="182" t="s">
        <v>182</v>
      </c>
      <c r="C19" s="163"/>
      <c r="D19" s="163"/>
      <c r="E19" s="163"/>
      <c r="F19" s="163"/>
      <c r="G19" s="163"/>
      <c r="H19" s="163"/>
      <c r="I19" s="303"/>
      <c r="J19" s="304"/>
      <c r="K19" s="172"/>
      <c r="L19" s="173"/>
      <c r="M19" s="185" t="s">
        <v>182</v>
      </c>
      <c r="N19" s="175"/>
      <c r="O19" s="175"/>
      <c r="P19" s="175"/>
      <c r="Q19" s="175"/>
      <c r="R19" s="175"/>
      <c r="S19" s="175"/>
      <c r="T19" s="303"/>
      <c r="U19" s="304"/>
      <c r="V19" s="174"/>
    </row>
    <row r="20" spans="1:22">
      <c r="A20" s="171"/>
      <c r="B20" s="163"/>
      <c r="C20" s="163"/>
      <c r="D20" s="163"/>
      <c r="E20" s="163"/>
      <c r="F20" s="163"/>
      <c r="G20" s="163"/>
      <c r="H20" s="163"/>
      <c r="I20" s="163"/>
      <c r="J20" s="163"/>
      <c r="K20" s="172"/>
      <c r="L20" s="173"/>
      <c r="M20" s="175"/>
      <c r="N20" s="175"/>
      <c r="O20" s="175"/>
      <c r="P20" s="175"/>
      <c r="Q20" s="175"/>
      <c r="R20" s="175"/>
      <c r="S20" s="175"/>
      <c r="T20" s="175"/>
      <c r="U20" s="175"/>
      <c r="V20" s="174"/>
    </row>
    <row r="21" spans="1:22">
      <c r="A21" s="171"/>
      <c r="B21" s="163"/>
      <c r="C21" s="163"/>
      <c r="D21" s="163"/>
      <c r="E21" s="163"/>
      <c r="F21" s="163"/>
      <c r="G21" s="163"/>
      <c r="H21" s="163"/>
      <c r="I21" s="163"/>
      <c r="J21" s="163"/>
      <c r="K21" s="172"/>
      <c r="L21" s="173"/>
      <c r="M21" s="175"/>
      <c r="N21" s="175"/>
      <c r="O21" s="175"/>
      <c r="P21" s="175"/>
      <c r="Q21" s="175"/>
      <c r="R21" s="175"/>
      <c r="S21" s="175"/>
      <c r="T21" s="175"/>
      <c r="U21" s="175"/>
      <c r="V21" s="174"/>
    </row>
    <row r="22" spans="1:22" ht="15" thickBot="1">
      <c r="A22" s="171"/>
      <c r="B22" s="163"/>
      <c r="C22" s="163"/>
      <c r="D22" s="163"/>
      <c r="E22" s="163"/>
      <c r="F22" s="163"/>
      <c r="G22" s="163"/>
      <c r="H22" s="163"/>
      <c r="I22" s="163"/>
      <c r="J22" s="163"/>
      <c r="K22" s="172"/>
      <c r="L22" s="173"/>
      <c r="M22" s="175"/>
      <c r="N22" s="175"/>
      <c r="O22" s="175"/>
      <c r="P22" s="175"/>
      <c r="Q22" s="175"/>
      <c r="R22" s="175"/>
      <c r="S22" s="175"/>
      <c r="T22" s="175"/>
      <c r="U22" s="175"/>
      <c r="V22" s="174"/>
    </row>
    <row r="23" spans="1:22" ht="15" thickBot="1">
      <c r="A23" s="171"/>
      <c r="B23" s="163"/>
      <c r="C23" s="163"/>
      <c r="D23" s="163"/>
      <c r="E23" s="163"/>
      <c r="F23" s="163"/>
      <c r="G23" s="163"/>
      <c r="H23" s="163"/>
      <c r="I23" s="163"/>
      <c r="J23" s="163"/>
      <c r="K23" s="172"/>
      <c r="L23" s="173"/>
      <c r="M23" s="154"/>
      <c r="N23" s="183" t="s">
        <v>189</v>
      </c>
      <c r="O23" s="175"/>
      <c r="P23" s="175"/>
      <c r="Q23" s="301">
        <f>T6-SUM(T8,T10,T13,T15,T17,T19)</f>
        <v>1332</v>
      </c>
      <c r="R23" s="302"/>
      <c r="S23" s="175"/>
      <c r="T23" s="175"/>
      <c r="U23" s="175"/>
      <c r="V23" s="174"/>
    </row>
    <row r="24" spans="1:22">
      <c r="A24" s="171"/>
      <c r="B24" s="163"/>
      <c r="C24" s="163"/>
      <c r="D24" s="163"/>
      <c r="E24" s="163"/>
      <c r="F24" s="163"/>
      <c r="G24" s="163"/>
      <c r="H24" s="163"/>
      <c r="I24" s="163"/>
      <c r="J24" s="163"/>
      <c r="K24" s="172"/>
      <c r="L24" s="173"/>
      <c r="M24" s="175"/>
      <c r="N24" s="185"/>
      <c r="O24" s="175"/>
      <c r="P24" s="175"/>
      <c r="Q24" s="175"/>
      <c r="R24" s="175"/>
      <c r="S24" s="175"/>
      <c r="T24" s="175"/>
      <c r="U24" s="175"/>
      <c r="V24" s="174"/>
    </row>
    <row r="25" spans="1:22">
      <c r="A25" s="171"/>
      <c r="B25" s="163"/>
      <c r="C25" s="163"/>
      <c r="D25" s="163"/>
      <c r="E25" s="163"/>
      <c r="F25" s="163"/>
      <c r="G25" s="163"/>
      <c r="H25" s="163"/>
      <c r="I25" s="163"/>
      <c r="J25" s="163"/>
      <c r="K25" s="172"/>
      <c r="L25" s="173"/>
      <c r="M25" s="175"/>
      <c r="N25" s="175"/>
      <c r="O25" s="175"/>
      <c r="P25" s="175"/>
      <c r="Q25" s="175"/>
      <c r="R25" s="175"/>
      <c r="S25" s="175"/>
      <c r="T25" s="175"/>
      <c r="U25" s="175"/>
      <c r="V25" s="174"/>
    </row>
    <row r="26" spans="1:22">
      <c r="A26" s="171"/>
      <c r="B26" s="163"/>
      <c r="C26" s="163"/>
      <c r="D26" s="163"/>
      <c r="E26" s="163"/>
      <c r="F26" s="163"/>
      <c r="G26" s="163"/>
      <c r="H26" s="163"/>
      <c r="I26" s="163"/>
      <c r="J26" s="163"/>
      <c r="K26" s="172"/>
      <c r="L26" s="173"/>
      <c r="M26" s="175"/>
      <c r="N26" s="175"/>
      <c r="O26" s="175"/>
      <c r="P26" s="175"/>
      <c r="Q26" s="175"/>
      <c r="R26" s="175"/>
      <c r="S26" s="175"/>
      <c r="T26" s="175"/>
      <c r="U26" s="175"/>
      <c r="V26" s="174"/>
    </row>
    <row r="27" spans="1:22">
      <c r="A27" s="171"/>
      <c r="B27" s="163"/>
      <c r="C27" s="163"/>
      <c r="D27" s="163"/>
      <c r="E27" s="163"/>
      <c r="F27" s="163"/>
      <c r="G27" s="163"/>
      <c r="H27" s="163"/>
      <c r="I27" s="163"/>
      <c r="J27" s="163"/>
      <c r="K27" s="172"/>
      <c r="L27" s="173"/>
      <c r="M27" s="175"/>
      <c r="N27" s="175"/>
      <c r="O27" s="175"/>
      <c r="P27" s="175"/>
      <c r="Q27" s="175"/>
      <c r="R27" s="175"/>
      <c r="S27" s="175"/>
      <c r="T27" s="175"/>
      <c r="U27" s="175"/>
      <c r="V27" s="174"/>
    </row>
    <row r="28" spans="1:22">
      <c r="A28" s="171"/>
      <c r="B28" s="163"/>
      <c r="C28" s="163"/>
      <c r="D28" s="163"/>
      <c r="E28" s="163"/>
      <c r="F28" s="163"/>
      <c r="G28" s="163"/>
      <c r="H28" s="163"/>
      <c r="I28" s="163"/>
      <c r="J28" s="163"/>
      <c r="K28" s="172"/>
      <c r="L28" s="173"/>
      <c r="M28" s="175"/>
      <c r="N28" s="175"/>
      <c r="O28" s="175"/>
      <c r="P28" s="175"/>
      <c r="Q28" s="175"/>
      <c r="R28" s="175"/>
      <c r="S28" s="175"/>
      <c r="T28" s="175"/>
      <c r="U28" s="175"/>
      <c r="V28" s="174"/>
    </row>
    <row r="29" spans="1:22">
      <c r="A29" s="171"/>
      <c r="B29" s="163"/>
      <c r="C29" s="163"/>
      <c r="D29" s="163"/>
      <c r="E29" s="163"/>
      <c r="F29" s="163"/>
      <c r="G29" s="163"/>
      <c r="H29" s="163"/>
      <c r="I29" s="163"/>
      <c r="J29" s="163"/>
      <c r="K29" s="172"/>
      <c r="L29" s="173"/>
      <c r="M29" s="175"/>
      <c r="N29" s="175"/>
      <c r="O29" s="175"/>
      <c r="P29" s="175"/>
      <c r="Q29" s="175"/>
      <c r="R29" s="175"/>
      <c r="S29" s="175"/>
      <c r="T29" s="175"/>
      <c r="U29" s="175"/>
      <c r="V29" s="174"/>
    </row>
    <row r="30" spans="1:22">
      <c r="A30" s="171"/>
      <c r="B30" s="163"/>
      <c r="C30" s="163"/>
      <c r="D30" s="163"/>
      <c r="E30" s="163"/>
      <c r="F30" s="163"/>
      <c r="G30" s="163"/>
      <c r="H30" s="163"/>
      <c r="I30" s="163"/>
      <c r="J30" s="163"/>
      <c r="K30" s="172"/>
      <c r="L30" s="173"/>
      <c r="M30" s="175"/>
      <c r="N30" s="175"/>
      <c r="O30" s="175"/>
      <c r="P30" s="175"/>
      <c r="Q30" s="175"/>
      <c r="R30" s="175"/>
      <c r="S30" s="175"/>
      <c r="T30" s="175"/>
      <c r="U30" s="175"/>
      <c r="V30" s="174"/>
    </row>
    <row r="31" spans="1:22">
      <c r="A31" s="171"/>
      <c r="B31" s="163"/>
      <c r="C31" s="163"/>
      <c r="D31" s="163"/>
      <c r="E31" s="163"/>
      <c r="F31" s="163"/>
      <c r="G31" s="163"/>
      <c r="H31" s="163"/>
      <c r="I31" s="163"/>
      <c r="J31" s="163"/>
      <c r="K31" s="172"/>
      <c r="L31" s="173"/>
      <c r="M31" s="175"/>
      <c r="N31" s="175"/>
      <c r="O31" s="175"/>
      <c r="P31" s="175"/>
      <c r="Q31" s="175"/>
      <c r="R31" s="175"/>
      <c r="S31" s="175"/>
      <c r="T31" s="175"/>
      <c r="U31" s="175"/>
      <c r="V31" s="174"/>
    </row>
    <row r="32" spans="1:22">
      <c r="A32" s="171"/>
      <c r="B32" s="163"/>
      <c r="C32" s="163"/>
      <c r="D32" s="163"/>
      <c r="E32" s="163"/>
      <c r="F32" s="163"/>
      <c r="G32" s="163"/>
      <c r="H32" s="163"/>
      <c r="I32" s="163"/>
      <c r="J32" s="163"/>
      <c r="K32" s="172"/>
      <c r="L32" s="173"/>
      <c r="M32" s="175"/>
      <c r="N32" s="175"/>
      <c r="O32" s="175"/>
      <c r="P32" s="175"/>
      <c r="Q32" s="175"/>
      <c r="R32" s="175"/>
      <c r="S32" s="175"/>
      <c r="T32" s="175"/>
      <c r="U32" s="175"/>
      <c r="V32" s="174"/>
    </row>
    <row r="33" spans="1:22">
      <c r="A33" s="171"/>
      <c r="B33" s="163"/>
      <c r="C33" s="163"/>
      <c r="D33" s="163"/>
      <c r="E33" s="163"/>
      <c r="F33" s="163"/>
      <c r="G33" s="163"/>
      <c r="H33" s="163"/>
      <c r="I33" s="163"/>
      <c r="J33" s="163"/>
      <c r="K33" s="172"/>
      <c r="L33" s="173"/>
      <c r="M33" s="175"/>
      <c r="N33" s="175"/>
      <c r="O33" s="175"/>
      <c r="P33" s="175"/>
      <c r="Q33" s="175"/>
      <c r="R33" s="175"/>
      <c r="S33" s="175"/>
      <c r="T33" s="175"/>
      <c r="U33" s="175"/>
      <c r="V33" s="174"/>
    </row>
    <row r="34" spans="1:22" ht="15" thickBot="1">
      <c r="A34" s="176"/>
      <c r="B34" s="177"/>
      <c r="C34" s="177"/>
      <c r="D34" s="177"/>
      <c r="E34" s="177"/>
      <c r="F34" s="177"/>
      <c r="G34" s="177"/>
      <c r="H34" s="177"/>
      <c r="I34" s="177"/>
      <c r="J34" s="177"/>
      <c r="K34" s="178"/>
      <c r="L34" s="179"/>
      <c r="M34" s="180"/>
      <c r="N34" s="180"/>
      <c r="O34" s="180"/>
      <c r="P34" s="180"/>
      <c r="Q34" s="180"/>
      <c r="R34" s="180"/>
      <c r="S34" s="180"/>
      <c r="T34" s="180"/>
      <c r="U34" s="180"/>
      <c r="V34" s="181"/>
    </row>
  </sheetData>
  <mergeCells count="19">
    <mergeCell ref="I6:J6"/>
    <mergeCell ref="T12:U12"/>
    <mergeCell ref="B2:J2"/>
    <mergeCell ref="M2:U2"/>
    <mergeCell ref="I19:J19"/>
    <mergeCell ref="I17:J17"/>
    <mergeCell ref="I15:J15"/>
    <mergeCell ref="I10:J10"/>
    <mergeCell ref="I8:J8"/>
    <mergeCell ref="I12:J12"/>
    <mergeCell ref="I13:J13"/>
    <mergeCell ref="T17:U17"/>
    <mergeCell ref="T19:U19"/>
    <mergeCell ref="Q23:R23"/>
    <mergeCell ref="T6:U6"/>
    <mergeCell ref="T8:U8"/>
    <mergeCell ref="T10:U10"/>
    <mergeCell ref="T13:U13"/>
    <mergeCell ref="T15:U15"/>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5D85-E7FA-43B7-9160-E7C770394894}">
  <sheetPr codeName="Sheet1">
    <tabColor theme="4" tint="0.79998168889431442"/>
  </sheetPr>
  <dimension ref="A1:Q34"/>
  <sheetViews>
    <sheetView showGridLines="0" workbookViewId="0">
      <selection activeCell="E6" sqref="E6"/>
    </sheetView>
  </sheetViews>
  <sheetFormatPr defaultRowHeight="14.45"/>
  <cols>
    <col min="1" max="1" width="4.42578125" customWidth="1"/>
    <col min="2" max="2" width="50.5703125" customWidth="1"/>
    <col min="3" max="3" width="3.7109375" bestFit="1" customWidth="1"/>
    <col min="4" max="4" width="2.85546875" customWidth="1"/>
    <col min="5" max="5" width="7.7109375" customWidth="1"/>
    <col min="6" max="6" width="50.5703125" customWidth="1"/>
    <col min="7" max="7" width="3.7109375" bestFit="1" customWidth="1"/>
    <col min="8" max="8" width="3" customWidth="1"/>
    <col min="9" max="9" width="7.7109375" customWidth="1"/>
    <col min="10" max="10" width="50.7109375" customWidth="1"/>
    <col min="11" max="11" width="3.7109375" bestFit="1" customWidth="1"/>
    <col min="12" max="12" width="3" customWidth="1"/>
    <col min="13" max="13" width="3.5703125" bestFit="1" customWidth="1"/>
  </cols>
  <sheetData>
    <row r="1" spans="1:17" ht="15" thickBot="1">
      <c r="A1" s="3"/>
      <c r="B1" s="3"/>
      <c r="C1" s="3"/>
      <c r="D1" s="3"/>
      <c r="E1" s="3"/>
      <c r="F1" s="3"/>
      <c r="G1" s="3"/>
      <c r="H1" s="3"/>
      <c r="I1" s="3"/>
      <c r="J1" s="3"/>
      <c r="K1" s="3"/>
      <c r="L1" s="3"/>
      <c r="M1" s="3"/>
      <c r="N1" s="3"/>
      <c r="O1" s="3"/>
      <c r="P1" s="3"/>
      <c r="Q1" s="3"/>
    </row>
    <row r="2" spans="1:17" ht="15" customHeight="1">
      <c r="A2" s="3"/>
      <c r="B2" s="228" t="s">
        <v>190</v>
      </c>
      <c r="C2" s="3"/>
      <c r="D2" s="3"/>
      <c r="E2" s="3"/>
      <c r="F2" s="315" t="s">
        <v>191</v>
      </c>
      <c r="G2" s="316"/>
      <c r="H2" s="317"/>
      <c r="I2" s="3"/>
      <c r="J2" s="248" t="s">
        <v>192</v>
      </c>
      <c r="K2" s="249"/>
      <c r="L2" s="250"/>
      <c r="M2" s="3"/>
      <c r="N2" s="3"/>
      <c r="O2" s="3"/>
      <c r="P2" s="3"/>
      <c r="Q2" s="3"/>
    </row>
    <row r="3" spans="1:17" ht="15" thickBot="1">
      <c r="A3" s="3"/>
      <c r="B3" s="3" t="s">
        <v>193</v>
      </c>
      <c r="C3" s="3"/>
      <c r="D3" s="3"/>
      <c r="E3" s="3"/>
      <c r="F3" s="222" t="s">
        <v>194</v>
      </c>
      <c r="G3" s="223" t="s">
        <v>195</v>
      </c>
      <c r="H3" s="224"/>
      <c r="I3" s="3"/>
      <c r="J3" s="222" t="s">
        <v>194</v>
      </c>
      <c r="K3" s="223" t="s">
        <v>195</v>
      </c>
      <c r="L3" s="224"/>
      <c r="M3" s="3"/>
      <c r="N3" s="3"/>
      <c r="O3" s="3"/>
      <c r="P3" s="3"/>
      <c r="Q3" s="3"/>
    </row>
    <row r="4" spans="1:17" ht="15" thickBot="1">
      <c r="A4" s="3"/>
      <c r="B4" s="3"/>
      <c r="C4" s="3"/>
      <c r="D4" s="3"/>
      <c r="E4" s="3"/>
      <c r="F4" s="212" t="s">
        <v>196</v>
      </c>
      <c r="G4" s="227">
        <v>3</v>
      </c>
      <c r="H4" s="216"/>
      <c r="I4" s="3"/>
      <c r="J4" s="226" t="s">
        <v>197</v>
      </c>
      <c r="K4" s="227">
        <v>1</v>
      </c>
      <c r="L4" s="241"/>
      <c r="M4" s="3"/>
      <c r="N4" s="3"/>
      <c r="O4" s="3"/>
      <c r="P4" s="3"/>
      <c r="Q4" s="3"/>
    </row>
    <row r="5" spans="1:17">
      <c r="A5" s="3"/>
      <c r="B5" s="321" t="s">
        <v>198</v>
      </c>
      <c r="C5" s="322"/>
      <c r="D5" s="323"/>
      <c r="E5" s="3"/>
      <c r="F5" s="212" t="s">
        <v>199</v>
      </c>
      <c r="G5" s="214">
        <v>16</v>
      </c>
      <c r="H5" s="221"/>
      <c r="I5" s="3"/>
      <c r="J5" s="212" t="s">
        <v>200</v>
      </c>
      <c r="K5" s="214">
        <v>6</v>
      </c>
      <c r="L5" s="216"/>
      <c r="M5" s="3"/>
      <c r="N5" s="3"/>
    </row>
    <row r="6" spans="1:17" ht="15" thickBot="1">
      <c r="A6" s="3"/>
      <c r="B6" s="222" t="s">
        <v>194</v>
      </c>
      <c r="C6" s="223" t="s">
        <v>195</v>
      </c>
      <c r="D6" s="224"/>
      <c r="E6" s="3"/>
      <c r="F6" s="212" t="s">
        <v>201</v>
      </c>
      <c r="G6" s="214">
        <v>3</v>
      </c>
      <c r="H6" s="221"/>
      <c r="I6" s="3"/>
      <c r="J6" s="212" t="s">
        <v>202</v>
      </c>
      <c r="K6" s="214">
        <v>1</v>
      </c>
      <c r="L6" s="221"/>
      <c r="M6" s="3"/>
      <c r="N6" s="3"/>
    </row>
    <row r="7" spans="1:17">
      <c r="A7" s="3"/>
      <c r="B7" s="219" t="s">
        <v>203</v>
      </c>
      <c r="C7" s="220">
        <v>2</v>
      </c>
      <c r="D7" s="221"/>
      <c r="E7" s="3"/>
      <c r="F7" s="212" t="s">
        <v>204</v>
      </c>
      <c r="G7" s="214">
        <v>4</v>
      </c>
      <c r="H7" s="221"/>
      <c r="I7" s="3"/>
      <c r="J7" s="212" t="s">
        <v>205</v>
      </c>
      <c r="K7" s="214">
        <v>1</v>
      </c>
      <c r="L7" s="221"/>
      <c r="M7" s="3"/>
      <c r="N7" s="3"/>
    </row>
    <row r="8" spans="1:17">
      <c r="A8" s="3"/>
      <c r="B8" s="212" t="s">
        <v>206</v>
      </c>
      <c r="C8" s="214">
        <v>1</v>
      </c>
      <c r="D8" s="221"/>
      <c r="E8" s="3"/>
      <c r="F8" s="212" t="s">
        <v>207</v>
      </c>
      <c r="G8" s="214">
        <v>2</v>
      </c>
      <c r="H8" s="221"/>
      <c r="I8" s="3"/>
      <c r="J8" s="212" t="s">
        <v>208</v>
      </c>
      <c r="K8" s="214">
        <v>1</v>
      </c>
      <c r="L8" s="221"/>
      <c r="M8" s="3"/>
      <c r="N8" s="3"/>
    </row>
    <row r="9" spans="1:17">
      <c r="A9" s="3"/>
      <c r="B9" s="212" t="s">
        <v>209</v>
      </c>
      <c r="C9" s="214">
        <v>1</v>
      </c>
      <c r="D9" s="221"/>
      <c r="E9" s="3"/>
      <c r="F9" s="212"/>
      <c r="G9" s="214"/>
      <c r="H9" s="221"/>
      <c r="I9" s="3"/>
      <c r="J9" s="212" t="s">
        <v>210</v>
      </c>
      <c r="K9" s="214">
        <v>1</v>
      </c>
      <c r="L9" s="221"/>
      <c r="M9" s="3"/>
      <c r="N9" s="3"/>
    </row>
    <row r="10" spans="1:17">
      <c r="A10" s="3"/>
      <c r="B10" s="212" t="s">
        <v>211</v>
      </c>
      <c r="C10" s="214">
        <v>2</v>
      </c>
      <c r="D10" s="221"/>
      <c r="E10" s="3"/>
      <c r="F10" s="212"/>
      <c r="G10" s="214"/>
      <c r="H10" s="221"/>
      <c r="I10" s="3"/>
      <c r="J10" s="212" t="s">
        <v>212</v>
      </c>
      <c r="K10" s="214">
        <v>1</v>
      </c>
      <c r="L10" s="221"/>
      <c r="M10" s="3"/>
      <c r="N10" s="3"/>
    </row>
    <row r="11" spans="1:17" ht="15" thickBot="1">
      <c r="A11" s="3"/>
      <c r="B11" s="212" t="s">
        <v>213</v>
      </c>
      <c r="C11" s="214">
        <v>1</v>
      </c>
      <c r="D11" s="221"/>
      <c r="E11" s="3"/>
      <c r="F11" s="213"/>
      <c r="G11" s="215"/>
      <c r="H11" s="225"/>
      <c r="I11" s="3"/>
      <c r="J11" s="212" t="s">
        <v>214</v>
      </c>
      <c r="K11" s="214">
        <v>1</v>
      </c>
      <c r="L11" s="221"/>
      <c r="M11" s="3"/>
      <c r="N11" s="3"/>
    </row>
    <row r="12" spans="1:17" ht="15" thickBot="1">
      <c r="A12" s="3"/>
      <c r="B12" s="212" t="s">
        <v>215</v>
      </c>
      <c r="C12" s="214">
        <v>2</v>
      </c>
      <c r="D12" s="221"/>
      <c r="E12" s="3"/>
      <c r="F12" s="3"/>
      <c r="G12" s="3"/>
      <c r="H12" s="3"/>
      <c r="I12" s="3"/>
      <c r="J12" s="212" t="s">
        <v>216</v>
      </c>
      <c r="K12" s="214">
        <v>1</v>
      </c>
      <c r="L12" s="221"/>
      <c r="M12" s="3"/>
      <c r="N12" s="3"/>
    </row>
    <row r="13" spans="1:17" ht="15" thickBot="1">
      <c r="A13" s="3"/>
      <c r="B13" s="212" t="s">
        <v>217</v>
      </c>
      <c r="C13" s="214">
        <v>3</v>
      </c>
      <c r="D13" s="221"/>
      <c r="E13" s="3"/>
      <c r="F13" s="318" t="s">
        <v>218</v>
      </c>
      <c r="G13" s="319"/>
      <c r="H13" s="320"/>
      <c r="I13" s="3"/>
      <c r="J13" s="212" t="s">
        <v>219</v>
      </c>
      <c r="K13" s="214">
        <v>1</v>
      </c>
      <c r="L13" s="217"/>
      <c r="M13" s="3"/>
      <c r="N13" s="3"/>
    </row>
    <row r="14" spans="1:17" ht="15" thickBot="1">
      <c r="A14" s="3"/>
      <c r="B14" s="212" t="s">
        <v>220</v>
      </c>
      <c r="C14" s="214">
        <v>2</v>
      </c>
      <c r="D14" s="221"/>
      <c r="E14" s="3"/>
      <c r="F14" s="230" t="s">
        <v>194</v>
      </c>
      <c r="G14" s="239" t="s">
        <v>195</v>
      </c>
      <c r="H14" s="240"/>
      <c r="I14" s="3"/>
      <c r="J14" s="212"/>
      <c r="K14" s="214"/>
      <c r="L14" s="217"/>
      <c r="M14" s="3"/>
      <c r="N14" s="3"/>
    </row>
    <row r="15" spans="1:17">
      <c r="A15" s="3"/>
      <c r="B15" s="212" t="s">
        <v>221</v>
      </c>
      <c r="C15" s="214">
        <v>3</v>
      </c>
      <c r="D15" s="221"/>
      <c r="E15" s="3"/>
      <c r="F15" s="226" t="s">
        <v>222</v>
      </c>
      <c r="G15" s="227">
        <v>1</v>
      </c>
      <c r="H15" s="216"/>
      <c r="I15" s="3"/>
      <c r="J15" s="212"/>
      <c r="K15" s="214"/>
      <c r="L15" s="217"/>
      <c r="M15" s="3"/>
      <c r="N15" s="3"/>
    </row>
    <row r="16" spans="1:17" ht="15" thickBot="1">
      <c r="A16" s="3"/>
      <c r="B16" s="212" t="s">
        <v>223</v>
      </c>
      <c r="C16" s="214">
        <v>1</v>
      </c>
      <c r="D16" s="221"/>
      <c r="E16" s="3"/>
      <c r="F16" s="212" t="s">
        <v>224</v>
      </c>
      <c r="G16" s="214">
        <v>1</v>
      </c>
      <c r="H16" s="217"/>
      <c r="I16" s="3"/>
      <c r="J16" s="213"/>
      <c r="K16" s="215"/>
      <c r="L16" s="218"/>
      <c r="M16" s="3"/>
      <c r="N16" s="3"/>
    </row>
    <row r="17" spans="1:14" ht="15" thickBot="1">
      <c r="A17" s="3"/>
      <c r="B17" s="212" t="s">
        <v>225</v>
      </c>
      <c r="C17" s="214">
        <v>1</v>
      </c>
      <c r="D17" s="221"/>
      <c r="E17" s="3"/>
      <c r="F17" s="212" t="s">
        <v>226</v>
      </c>
      <c r="G17" s="214">
        <v>2</v>
      </c>
      <c r="H17" s="217"/>
      <c r="I17" s="3"/>
      <c r="J17" s="229"/>
      <c r="K17" s="229"/>
      <c r="L17" s="229"/>
      <c r="M17" s="3"/>
      <c r="N17" s="3"/>
    </row>
    <row r="18" spans="1:14">
      <c r="A18" s="3"/>
      <c r="B18" s="212" t="s">
        <v>227</v>
      </c>
      <c r="C18" s="214">
        <v>1</v>
      </c>
      <c r="D18" s="221"/>
      <c r="E18" s="3"/>
      <c r="F18" s="212" t="s">
        <v>228</v>
      </c>
      <c r="G18" s="214">
        <v>2</v>
      </c>
      <c r="H18" s="221"/>
      <c r="I18" s="3"/>
      <c r="J18" s="321" t="s">
        <v>229</v>
      </c>
      <c r="K18" s="322"/>
      <c r="L18" s="323"/>
      <c r="M18" s="3"/>
      <c r="N18" s="3"/>
    </row>
    <row r="19" spans="1:14" ht="15" thickBot="1">
      <c r="A19" s="3"/>
      <c r="B19" s="212" t="s">
        <v>230</v>
      </c>
      <c r="C19" s="214">
        <v>1</v>
      </c>
      <c r="D19" s="221"/>
      <c r="E19" s="3"/>
      <c r="F19" s="212" t="s">
        <v>231</v>
      </c>
      <c r="G19" s="214">
        <v>1</v>
      </c>
      <c r="H19" s="221"/>
      <c r="I19" s="3"/>
      <c r="J19" s="222" t="s">
        <v>194</v>
      </c>
      <c r="K19" s="223" t="s">
        <v>195</v>
      </c>
      <c r="L19" s="224"/>
      <c r="M19" s="3"/>
      <c r="N19" s="3"/>
    </row>
    <row r="20" spans="1:14">
      <c r="A20" s="3"/>
      <c r="B20" s="212" t="s">
        <v>232</v>
      </c>
      <c r="C20" s="214">
        <v>1</v>
      </c>
      <c r="D20" s="221"/>
      <c r="E20" s="3"/>
      <c r="F20" s="212" t="s">
        <v>233</v>
      </c>
      <c r="G20" s="214">
        <v>1</v>
      </c>
      <c r="H20" s="217"/>
      <c r="I20" s="3"/>
      <c r="J20" s="219" t="s">
        <v>234</v>
      </c>
      <c r="K20" s="220">
        <v>1</v>
      </c>
      <c r="L20" s="221"/>
      <c r="M20" s="3"/>
      <c r="N20" s="3"/>
    </row>
    <row r="21" spans="1:14">
      <c r="A21" s="3"/>
      <c r="B21" s="212" t="s">
        <v>235</v>
      </c>
      <c r="C21" s="214">
        <v>1</v>
      </c>
      <c r="D21" s="221"/>
      <c r="E21" s="3"/>
      <c r="F21" s="212" t="s">
        <v>236</v>
      </c>
      <c r="G21" s="214">
        <v>1</v>
      </c>
      <c r="H21" s="217"/>
      <c r="I21" s="3"/>
      <c r="J21" s="212" t="s">
        <v>237</v>
      </c>
      <c r="K21" s="214">
        <v>2</v>
      </c>
      <c r="L21" s="221"/>
      <c r="M21" s="3"/>
      <c r="N21" s="3"/>
    </row>
    <row r="22" spans="1:14">
      <c r="A22" s="3"/>
      <c r="B22" s="212" t="s">
        <v>238</v>
      </c>
      <c r="C22" s="214">
        <v>1</v>
      </c>
      <c r="D22" s="221"/>
      <c r="E22" s="3"/>
      <c r="F22" s="212"/>
      <c r="G22" s="214"/>
      <c r="H22" s="217"/>
      <c r="I22" s="3"/>
      <c r="J22" s="212" t="s">
        <v>239</v>
      </c>
      <c r="K22" s="214">
        <v>1</v>
      </c>
      <c r="L22" s="221"/>
      <c r="M22" s="3"/>
      <c r="N22" s="3"/>
    </row>
    <row r="23" spans="1:14">
      <c r="A23" s="3"/>
      <c r="B23" s="212" t="s">
        <v>240</v>
      </c>
      <c r="C23" s="214"/>
      <c r="D23" s="221"/>
      <c r="E23" s="3"/>
      <c r="F23" s="212"/>
      <c r="G23" s="214"/>
      <c r="H23" s="217"/>
      <c r="I23" s="3"/>
      <c r="J23" s="212" t="s">
        <v>241</v>
      </c>
      <c r="K23" s="214">
        <v>1</v>
      </c>
      <c r="L23" s="221"/>
      <c r="M23" s="3"/>
      <c r="N23" s="3"/>
    </row>
    <row r="24" spans="1:14">
      <c r="A24" s="3"/>
      <c r="B24" s="212"/>
      <c r="C24" s="214"/>
      <c r="D24" s="221"/>
      <c r="E24" s="3"/>
      <c r="F24" s="212"/>
      <c r="G24" s="214"/>
      <c r="H24" s="217"/>
      <c r="I24" s="3"/>
      <c r="J24" s="212" t="s">
        <v>242</v>
      </c>
      <c r="K24" s="214">
        <v>1</v>
      </c>
      <c r="L24" s="221"/>
      <c r="M24" s="3"/>
      <c r="N24" s="3"/>
    </row>
    <row r="25" spans="1:14" ht="15" thickBot="1">
      <c r="A25" s="3"/>
      <c r="B25" s="212"/>
      <c r="C25" s="214"/>
      <c r="D25" s="221"/>
      <c r="E25" s="3"/>
      <c r="F25" s="213"/>
      <c r="G25" s="215"/>
      <c r="H25" s="218"/>
      <c r="I25" s="3"/>
      <c r="J25" s="212" t="s">
        <v>243</v>
      </c>
      <c r="K25" s="214">
        <v>1</v>
      </c>
      <c r="L25" s="221"/>
      <c r="M25" s="3"/>
      <c r="N25" s="3"/>
    </row>
    <row r="26" spans="1:14" ht="15" thickBot="1">
      <c r="A26" s="3"/>
      <c r="B26" s="212"/>
      <c r="C26" s="214"/>
      <c r="D26" s="221"/>
      <c r="E26" s="3"/>
      <c r="F26" s="229"/>
      <c r="G26" s="229"/>
      <c r="H26" s="229"/>
      <c r="I26" s="3"/>
      <c r="J26" s="212" t="s">
        <v>244</v>
      </c>
      <c r="K26" s="214">
        <v>1</v>
      </c>
      <c r="L26" s="221"/>
      <c r="M26" s="3"/>
      <c r="N26" s="3"/>
    </row>
    <row r="27" spans="1:14">
      <c r="A27" s="3"/>
      <c r="B27" s="212"/>
      <c r="C27" s="214"/>
      <c r="D27" s="221"/>
      <c r="E27" s="3"/>
      <c r="F27" s="321" t="s">
        <v>245</v>
      </c>
      <c r="G27" s="322"/>
      <c r="H27" s="323"/>
      <c r="I27" s="3"/>
      <c r="J27" s="212" t="s">
        <v>246</v>
      </c>
      <c r="K27" s="214">
        <v>1</v>
      </c>
      <c r="L27" s="221"/>
      <c r="M27" s="3"/>
      <c r="N27" s="3"/>
    </row>
    <row r="28" spans="1:14" ht="15" thickBot="1">
      <c r="A28" s="3"/>
      <c r="B28" s="212"/>
      <c r="C28" s="214"/>
      <c r="D28" s="221"/>
      <c r="E28" s="3"/>
      <c r="F28" s="222" t="s">
        <v>194</v>
      </c>
      <c r="G28" s="223" t="s">
        <v>195</v>
      </c>
      <c r="H28" s="224"/>
      <c r="I28" s="3"/>
      <c r="J28" s="212" t="s">
        <v>247</v>
      </c>
      <c r="K28" s="214">
        <v>1</v>
      </c>
      <c r="L28" s="221"/>
      <c r="M28" s="3"/>
      <c r="N28" s="3"/>
    </row>
    <row r="29" spans="1:14">
      <c r="A29" s="3"/>
      <c r="B29" s="212"/>
      <c r="C29" s="214"/>
      <c r="D29" s="221"/>
      <c r="E29" s="3"/>
      <c r="F29" s="219" t="s">
        <v>248</v>
      </c>
      <c r="G29" s="220">
        <v>1</v>
      </c>
      <c r="H29" s="221"/>
      <c r="I29" s="3"/>
      <c r="J29" s="212" t="s">
        <v>249</v>
      </c>
      <c r="K29" s="214"/>
      <c r="L29" s="221"/>
      <c r="M29" s="3"/>
      <c r="N29" s="3"/>
    </row>
    <row r="30" spans="1:14">
      <c r="A30" s="3"/>
      <c r="B30" s="212"/>
      <c r="C30" s="214"/>
      <c r="D30" s="221"/>
      <c r="E30" s="3"/>
      <c r="F30" s="212" t="s">
        <v>250</v>
      </c>
      <c r="G30" s="214">
        <v>1</v>
      </c>
      <c r="H30" s="221"/>
      <c r="I30" s="3"/>
      <c r="J30" s="212" t="s">
        <v>251</v>
      </c>
      <c r="K30" s="214"/>
      <c r="L30" s="221"/>
      <c r="M30" s="3"/>
      <c r="N30" s="3"/>
    </row>
    <row r="31" spans="1:14">
      <c r="A31" s="3"/>
      <c r="B31" s="212"/>
      <c r="C31" s="214"/>
      <c r="D31" s="221"/>
      <c r="E31" s="3"/>
      <c r="F31" s="212" t="s">
        <v>252</v>
      </c>
      <c r="G31" s="214">
        <v>1</v>
      </c>
      <c r="H31" s="221"/>
      <c r="I31" s="3"/>
      <c r="J31" s="212" t="s">
        <v>253</v>
      </c>
      <c r="K31" s="214"/>
      <c r="L31" s="221"/>
      <c r="M31" s="3"/>
      <c r="N31" s="3"/>
    </row>
    <row r="32" spans="1:14">
      <c r="A32" s="3"/>
      <c r="B32" s="212"/>
      <c r="C32" s="214"/>
      <c r="D32" s="221"/>
      <c r="E32" s="3"/>
      <c r="F32" s="212"/>
      <c r="G32" s="214"/>
      <c r="H32" s="221"/>
      <c r="I32" s="3"/>
      <c r="J32" s="212"/>
      <c r="K32" s="214"/>
      <c r="L32" s="221"/>
      <c r="M32" s="3"/>
      <c r="N32" s="3"/>
    </row>
    <row r="33" spans="1:14" ht="15" thickBot="1">
      <c r="A33" s="3"/>
      <c r="B33" s="213"/>
      <c r="C33" s="215"/>
      <c r="D33" s="225"/>
      <c r="E33" s="3"/>
      <c r="F33" s="213"/>
      <c r="G33" s="215"/>
      <c r="H33" s="225"/>
      <c r="I33" s="3"/>
      <c r="J33" s="213"/>
      <c r="K33" s="215"/>
      <c r="L33" s="225"/>
      <c r="M33" s="3"/>
      <c r="N33" s="3"/>
    </row>
    <row r="34" spans="1:14">
      <c r="A34" s="3"/>
      <c r="B34" s="3"/>
      <c r="C34" s="3"/>
      <c r="D34" s="3"/>
      <c r="E34" s="3"/>
      <c r="F34" s="3"/>
      <c r="G34" s="3"/>
      <c r="H34" s="3"/>
      <c r="I34" s="3"/>
      <c r="J34" s="3"/>
      <c r="K34" s="3"/>
      <c r="L34" s="3"/>
      <c r="M34" s="3"/>
      <c r="N34" s="3"/>
    </row>
  </sheetData>
  <mergeCells count="5">
    <mergeCell ref="F2:H2"/>
    <mergeCell ref="F13:H13"/>
    <mergeCell ref="B5:D5"/>
    <mergeCell ref="F27:H27"/>
    <mergeCell ref="J18:L1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458" r:id="rId4" name="Check Box 2">
              <controlPr defaultSize="0" autoFill="0" autoLine="0" autoPict="0">
                <anchor moveWithCells="1">
                  <from>
                    <xdr:col>3</xdr:col>
                    <xdr:colOff>0</xdr:colOff>
                    <xdr:row>5</xdr:row>
                    <xdr:rowOff>171450</xdr:rowOff>
                  </from>
                  <to>
                    <xdr:col>5</xdr:col>
                    <xdr:colOff>0</xdr:colOff>
                    <xdr:row>7</xdr:row>
                    <xdr:rowOff>12700</xdr:rowOff>
                  </to>
                </anchor>
              </controlPr>
            </control>
          </mc:Choice>
        </mc:AlternateContent>
        <mc:AlternateContent xmlns:mc="http://schemas.openxmlformats.org/markup-compatibility/2006">
          <mc:Choice Requires="x14">
            <control shapeId="19459" r:id="rId5" name="Check Box 3">
              <controlPr defaultSize="0" autoFill="0" autoLine="0" autoPict="0">
                <anchor moveWithCells="1">
                  <from>
                    <xdr:col>3</xdr:col>
                    <xdr:colOff>0</xdr:colOff>
                    <xdr:row>6</xdr:row>
                    <xdr:rowOff>171450</xdr:rowOff>
                  </from>
                  <to>
                    <xdr:col>5</xdr:col>
                    <xdr:colOff>0</xdr:colOff>
                    <xdr:row>8</xdr:row>
                    <xdr:rowOff>19050</xdr:rowOff>
                  </to>
                </anchor>
              </controlPr>
            </control>
          </mc:Choice>
        </mc:AlternateContent>
        <mc:AlternateContent xmlns:mc="http://schemas.openxmlformats.org/markup-compatibility/2006">
          <mc:Choice Requires="x14">
            <control shapeId="19460" r:id="rId6" name="Check Box 4">
              <controlPr defaultSize="0" autoFill="0" autoLine="0" autoPict="0">
                <anchor moveWithCells="1">
                  <from>
                    <xdr:col>3</xdr:col>
                    <xdr:colOff>0</xdr:colOff>
                    <xdr:row>7</xdr:row>
                    <xdr:rowOff>171450</xdr:rowOff>
                  </from>
                  <to>
                    <xdr:col>5</xdr:col>
                    <xdr:colOff>0</xdr:colOff>
                    <xdr:row>9</xdr:row>
                    <xdr:rowOff>19050</xdr:rowOff>
                  </to>
                </anchor>
              </controlPr>
            </control>
          </mc:Choice>
        </mc:AlternateContent>
        <mc:AlternateContent xmlns:mc="http://schemas.openxmlformats.org/markup-compatibility/2006">
          <mc:Choice Requires="x14">
            <control shapeId="19461" r:id="rId7" name="Check Box 5">
              <controlPr defaultSize="0" autoFill="0" autoLine="0" autoPict="0">
                <anchor moveWithCells="1">
                  <from>
                    <xdr:col>3</xdr:col>
                    <xdr:colOff>0</xdr:colOff>
                    <xdr:row>8</xdr:row>
                    <xdr:rowOff>171450</xdr:rowOff>
                  </from>
                  <to>
                    <xdr:col>5</xdr:col>
                    <xdr:colOff>0</xdr:colOff>
                    <xdr:row>10</xdr:row>
                    <xdr:rowOff>19050</xdr:rowOff>
                  </to>
                </anchor>
              </controlPr>
            </control>
          </mc:Choice>
        </mc:AlternateContent>
        <mc:AlternateContent xmlns:mc="http://schemas.openxmlformats.org/markup-compatibility/2006">
          <mc:Choice Requires="x14">
            <control shapeId="19462" r:id="rId8" name="Check Box 6">
              <controlPr defaultSize="0" autoFill="0" autoLine="0" autoPict="0">
                <anchor moveWithCells="1">
                  <from>
                    <xdr:col>3</xdr:col>
                    <xdr:colOff>0</xdr:colOff>
                    <xdr:row>9</xdr:row>
                    <xdr:rowOff>171450</xdr:rowOff>
                  </from>
                  <to>
                    <xdr:col>5</xdr:col>
                    <xdr:colOff>0</xdr:colOff>
                    <xdr:row>11</xdr:row>
                    <xdr:rowOff>12700</xdr:rowOff>
                  </to>
                </anchor>
              </controlPr>
            </control>
          </mc:Choice>
        </mc:AlternateContent>
        <mc:AlternateContent xmlns:mc="http://schemas.openxmlformats.org/markup-compatibility/2006">
          <mc:Choice Requires="x14">
            <control shapeId="19463" r:id="rId9" name="Check Box 7">
              <controlPr defaultSize="0" autoFill="0" autoLine="0" autoPict="0">
                <anchor moveWithCells="1">
                  <from>
                    <xdr:col>3</xdr:col>
                    <xdr:colOff>0</xdr:colOff>
                    <xdr:row>10</xdr:row>
                    <xdr:rowOff>171450</xdr:rowOff>
                  </from>
                  <to>
                    <xdr:col>5</xdr:col>
                    <xdr:colOff>0</xdr:colOff>
                    <xdr:row>12</xdr:row>
                    <xdr:rowOff>6350</xdr:rowOff>
                  </to>
                </anchor>
              </controlPr>
            </control>
          </mc:Choice>
        </mc:AlternateContent>
        <mc:AlternateContent xmlns:mc="http://schemas.openxmlformats.org/markup-compatibility/2006">
          <mc:Choice Requires="x14">
            <control shapeId="19464" r:id="rId10" name="Check Box 8">
              <controlPr defaultSize="0" autoFill="0" autoLine="0" autoPict="0">
                <anchor moveWithCells="1">
                  <from>
                    <xdr:col>3</xdr:col>
                    <xdr:colOff>0</xdr:colOff>
                    <xdr:row>11</xdr:row>
                    <xdr:rowOff>171450</xdr:rowOff>
                  </from>
                  <to>
                    <xdr:col>5</xdr:col>
                    <xdr:colOff>0</xdr:colOff>
                    <xdr:row>13</xdr:row>
                    <xdr:rowOff>6350</xdr:rowOff>
                  </to>
                </anchor>
              </controlPr>
            </control>
          </mc:Choice>
        </mc:AlternateContent>
        <mc:AlternateContent xmlns:mc="http://schemas.openxmlformats.org/markup-compatibility/2006">
          <mc:Choice Requires="x14">
            <control shapeId="19465" r:id="rId11" name="Check Box 9">
              <controlPr defaultSize="0" autoFill="0" autoLine="0" autoPict="0">
                <anchor moveWithCells="1">
                  <from>
                    <xdr:col>3</xdr:col>
                    <xdr:colOff>0</xdr:colOff>
                    <xdr:row>12</xdr:row>
                    <xdr:rowOff>171450</xdr:rowOff>
                  </from>
                  <to>
                    <xdr:col>5</xdr:col>
                    <xdr:colOff>0</xdr:colOff>
                    <xdr:row>14</xdr:row>
                    <xdr:rowOff>6350</xdr:rowOff>
                  </to>
                </anchor>
              </controlPr>
            </control>
          </mc:Choice>
        </mc:AlternateContent>
        <mc:AlternateContent xmlns:mc="http://schemas.openxmlformats.org/markup-compatibility/2006">
          <mc:Choice Requires="x14">
            <control shapeId="19466" r:id="rId12" name="Check Box 10">
              <controlPr defaultSize="0" autoFill="0" autoLine="0" autoPict="0">
                <anchor moveWithCells="1">
                  <from>
                    <xdr:col>3</xdr:col>
                    <xdr:colOff>0</xdr:colOff>
                    <xdr:row>13</xdr:row>
                    <xdr:rowOff>171450</xdr:rowOff>
                  </from>
                  <to>
                    <xdr:col>5</xdr:col>
                    <xdr:colOff>0</xdr:colOff>
                    <xdr:row>15</xdr:row>
                    <xdr:rowOff>12700</xdr:rowOff>
                  </to>
                </anchor>
              </controlPr>
            </control>
          </mc:Choice>
        </mc:AlternateContent>
        <mc:AlternateContent xmlns:mc="http://schemas.openxmlformats.org/markup-compatibility/2006">
          <mc:Choice Requires="x14">
            <control shapeId="19467" r:id="rId13" name="Check Box 11">
              <controlPr defaultSize="0" autoFill="0" autoLine="0" autoPict="0">
                <anchor moveWithCells="1">
                  <from>
                    <xdr:col>3</xdr:col>
                    <xdr:colOff>0</xdr:colOff>
                    <xdr:row>14</xdr:row>
                    <xdr:rowOff>171450</xdr:rowOff>
                  </from>
                  <to>
                    <xdr:col>5</xdr:col>
                    <xdr:colOff>0</xdr:colOff>
                    <xdr:row>16</xdr:row>
                    <xdr:rowOff>12700</xdr:rowOff>
                  </to>
                </anchor>
              </controlPr>
            </control>
          </mc:Choice>
        </mc:AlternateContent>
        <mc:AlternateContent xmlns:mc="http://schemas.openxmlformats.org/markup-compatibility/2006">
          <mc:Choice Requires="x14">
            <control shapeId="19468" r:id="rId14" name="Check Box 12">
              <controlPr defaultSize="0" autoFill="0" autoLine="0" autoPict="0">
                <anchor moveWithCells="1">
                  <from>
                    <xdr:col>3</xdr:col>
                    <xdr:colOff>0</xdr:colOff>
                    <xdr:row>15</xdr:row>
                    <xdr:rowOff>171450</xdr:rowOff>
                  </from>
                  <to>
                    <xdr:col>5</xdr:col>
                    <xdr:colOff>0</xdr:colOff>
                    <xdr:row>17</xdr:row>
                    <xdr:rowOff>6350</xdr:rowOff>
                  </to>
                </anchor>
              </controlPr>
            </control>
          </mc:Choice>
        </mc:AlternateContent>
        <mc:AlternateContent xmlns:mc="http://schemas.openxmlformats.org/markup-compatibility/2006">
          <mc:Choice Requires="x14">
            <control shapeId="19469" r:id="rId15" name="Check Box 13">
              <controlPr defaultSize="0" autoFill="0" autoLine="0" autoPict="0">
                <anchor moveWithCells="1">
                  <from>
                    <xdr:col>3</xdr:col>
                    <xdr:colOff>0</xdr:colOff>
                    <xdr:row>16</xdr:row>
                    <xdr:rowOff>171450</xdr:rowOff>
                  </from>
                  <to>
                    <xdr:col>5</xdr:col>
                    <xdr:colOff>0</xdr:colOff>
                    <xdr:row>18</xdr:row>
                    <xdr:rowOff>12700</xdr:rowOff>
                  </to>
                </anchor>
              </controlPr>
            </control>
          </mc:Choice>
        </mc:AlternateContent>
        <mc:AlternateContent xmlns:mc="http://schemas.openxmlformats.org/markup-compatibility/2006">
          <mc:Choice Requires="x14">
            <control shapeId="19470" r:id="rId16" name="Check Box 14">
              <controlPr defaultSize="0" autoFill="0" autoLine="0" autoPict="0">
                <anchor moveWithCells="1">
                  <from>
                    <xdr:col>3</xdr:col>
                    <xdr:colOff>0</xdr:colOff>
                    <xdr:row>17</xdr:row>
                    <xdr:rowOff>171450</xdr:rowOff>
                  </from>
                  <to>
                    <xdr:col>5</xdr:col>
                    <xdr:colOff>0</xdr:colOff>
                    <xdr:row>19</xdr:row>
                    <xdr:rowOff>12700</xdr:rowOff>
                  </to>
                </anchor>
              </controlPr>
            </control>
          </mc:Choice>
        </mc:AlternateContent>
        <mc:AlternateContent xmlns:mc="http://schemas.openxmlformats.org/markup-compatibility/2006">
          <mc:Choice Requires="x14">
            <control shapeId="19471" r:id="rId17" name="Check Box 15">
              <controlPr defaultSize="0" autoFill="0" autoLine="0" autoPict="0">
                <anchor moveWithCells="1">
                  <from>
                    <xdr:col>3</xdr:col>
                    <xdr:colOff>0</xdr:colOff>
                    <xdr:row>18</xdr:row>
                    <xdr:rowOff>171450</xdr:rowOff>
                  </from>
                  <to>
                    <xdr:col>5</xdr:col>
                    <xdr:colOff>0</xdr:colOff>
                    <xdr:row>20</xdr:row>
                    <xdr:rowOff>12700</xdr:rowOff>
                  </to>
                </anchor>
              </controlPr>
            </control>
          </mc:Choice>
        </mc:AlternateContent>
        <mc:AlternateContent xmlns:mc="http://schemas.openxmlformats.org/markup-compatibility/2006">
          <mc:Choice Requires="x14">
            <control shapeId="19472" r:id="rId18" name="Check Box 16">
              <controlPr defaultSize="0" autoFill="0" autoLine="0" autoPict="0">
                <anchor moveWithCells="1">
                  <from>
                    <xdr:col>3</xdr:col>
                    <xdr:colOff>0</xdr:colOff>
                    <xdr:row>19</xdr:row>
                    <xdr:rowOff>171450</xdr:rowOff>
                  </from>
                  <to>
                    <xdr:col>5</xdr:col>
                    <xdr:colOff>0</xdr:colOff>
                    <xdr:row>21</xdr:row>
                    <xdr:rowOff>19050</xdr:rowOff>
                  </to>
                </anchor>
              </controlPr>
            </control>
          </mc:Choice>
        </mc:AlternateContent>
        <mc:AlternateContent xmlns:mc="http://schemas.openxmlformats.org/markup-compatibility/2006">
          <mc:Choice Requires="x14">
            <control shapeId="19473" r:id="rId19" name="Check Box 17">
              <controlPr defaultSize="0" autoFill="0" autoLine="0" autoPict="0">
                <anchor moveWithCells="1">
                  <from>
                    <xdr:col>3</xdr:col>
                    <xdr:colOff>0</xdr:colOff>
                    <xdr:row>20</xdr:row>
                    <xdr:rowOff>171450</xdr:rowOff>
                  </from>
                  <to>
                    <xdr:col>5</xdr:col>
                    <xdr:colOff>0</xdr:colOff>
                    <xdr:row>22</xdr:row>
                    <xdr:rowOff>19050</xdr:rowOff>
                  </to>
                </anchor>
              </controlPr>
            </control>
          </mc:Choice>
        </mc:AlternateContent>
        <mc:AlternateContent xmlns:mc="http://schemas.openxmlformats.org/markup-compatibility/2006">
          <mc:Choice Requires="x14">
            <control shapeId="19474" r:id="rId20" name="Check Box 18">
              <controlPr defaultSize="0" autoFill="0" autoLine="0" autoPict="0">
                <anchor moveWithCells="1">
                  <from>
                    <xdr:col>3</xdr:col>
                    <xdr:colOff>0</xdr:colOff>
                    <xdr:row>21</xdr:row>
                    <xdr:rowOff>171450</xdr:rowOff>
                  </from>
                  <to>
                    <xdr:col>5</xdr:col>
                    <xdr:colOff>0</xdr:colOff>
                    <xdr:row>23</xdr:row>
                    <xdr:rowOff>19050</xdr:rowOff>
                  </to>
                </anchor>
              </controlPr>
            </control>
          </mc:Choice>
        </mc:AlternateContent>
        <mc:AlternateContent xmlns:mc="http://schemas.openxmlformats.org/markup-compatibility/2006">
          <mc:Choice Requires="x14">
            <control shapeId="19475" r:id="rId21" name="Check Box 19">
              <controlPr defaultSize="0" autoFill="0" autoLine="0" autoPict="0">
                <anchor moveWithCells="1">
                  <from>
                    <xdr:col>3</xdr:col>
                    <xdr:colOff>0</xdr:colOff>
                    <xdr:row>22</xdr:row>
                    <xdr:rowOff>171450</xdr:rowOff>
                  </from>
                  <to>
                    <xdr:col>5</xdr:col>
                    <xdr:colOff>0</xdr:colOff>
                    <xdr:row>24</xdr:row>
                    <xdr:rowOff>19050</xdr:rowOff>
                  </to>
                </anchor>
              </controlPr>
            </control>
          </mc:Choice>
        </mc:AlternateContent>
        <mc:AlternateContent xmlns:mc="http://schemas.openxmlformats.org/markup-compatibility/2006">
          <mc:Choice Requires="x14">
            <control shapeId="19476" r:id="rId22" name="Check Box 20">
              <controlPr defaultSize="0" autoFill="0" autoLine="0" autoPict="0">
                <anchor moveWithCells="1">
                  <from>
                    <xdr:col>3</xdr:col>
                    <xdr:colOff>0</xdr:colOff>
                    <xdr:row>23</xdr:row>
                    <xdr:rowOff>171450</xdr:rowOff>
                  </from>
                  <to>
                    <xdr:col>5</xdr:col>
                    <xdr:colOff>0</xdr:colOff>
                    <xdr:row>25</xdr:row>
                    <xdr:rowOff>12700</xdr:rowOff>
                  </to>
                </anchor>
              </controlPr>
            </control>
          </mc:Choice>
        </mc:AlternateContent>
        <mc:AlternateContent xmlns:mc="http://schemas.openxmlformats.org/markup-compatibility/2006">
          <mc:Choice Requires="x14">
            <control shapeId="19477" r:id="rId23" name="Check Box 21">
              <controlPr defaultSize="0" autoFill="0" autoLine="0" autoPict="0">
                <anchor moveWithCells="1">
                  <from>
                    <xdr:col>3</xdr:col>
                    <xdr:colOff>0</xdr:colOff>
                    <xdr:row>24</xdr:row>
                    <xdr:rowOff>171450</xdr:rowOff>
                  </from>
                  <to>
                    <xdr:col>5</xdr:col>
                    <xdr:colOff>0</xdr:colOff>
                    <xdr:row>26</xdr:row>
                    <xdr:rowOff>6350</xdr:rowOff>
                  </to>
                </anchor>
              </controlPr>
            </control>
          </mc:Choice>
        </mc:AlternateContent>
        <mc:AlternateContent xmlns:mc="http://schemas.openxmlformats.org/markup-compatibility/2006">
          <mc:Choice Requires="x14">
            <control shapeId="19478" r:id="rId24" name="Check Box 22">
              <controlPr defaultSize="0" autoFill="0" autoLine="0" autoPict="0">
                <anchor moveWithCells="1">
                  <from>
                    <xdr:col>3</xdr:col>
                    <xdr:colOff>0</xdr:colOff>
                    <xdr:row>25</xdr:row>
                    <xdr:rowOff>171450</xdr:rowOff>
                  </from>
                  <to>
                    <xdr:col>5</xdr:col>
                    <xdr:colOff>0</xdr:colOff>
                    <xdr:row>27</xdr:row>
                    <xdr:rowOff>12700</xdr:rowOff>
                  </to>
                </anchor>
              </controlPr>
            </control>
          </mc:Choice>
        </mc:AlternateContent>
        <mc:AlternateContent xmlns:mc="http://schemas.openxmlformats.org/markup-compatibility/2006">
          <mc:Choice Requires="x14">
            <control shapeId="19479" r:id="rId25" name="Check Box 23">
              <controlPr defaultSize="0" autoFill="0" autoLine="0" autoPict="0">
                <anchor moveWithCells="1">
                  <from>
                    <xdr:col>3</xdr:col>
                    <xdr:colOff>0</xdr:colOff>
                    <xdr:row>26</xdr:row>
                    <xdr:rowOff>171450</xdr:rowOff>
                  </from>
                  <to>
                    <xdr:col>5</xdr:col>
                    <xdr:colOff>0</xdr:colOff>
                    <xdr:row>28</xdr:row>
                    <xdr:rowOff>12700</xdr:rowOff>
                  </to>
                </anchor>
              </controlPr>
            </control>
          </mc:Choice>
        </mc:AlternateContent>
        <mc:AlternateContent xmlns:mc="http://schemas.openxmlformats.org/markup-compatibility/2006">
          <mc:Choice Requires="x14">
            <control shapeId="19480" r:id="rId26" name="Check Box 24">
              <controlPr defaultSize="0" autoFill="0" autoLine="0" autoPict="0">
                <anchor moveWithCells="1">
                  <from>
                    <xdr:col>3</xdr:col>
                    <xdr:colOff>0</xdr:colOff>
                    <xdr:row>27</xdr:row>
                    <xdr:rowOff>171450</xdr:rowOff>
                  </from>
                  <to>
                    <xdr:col>5</xdr:col>
                    <xdr:colOff>0</xdr:colOff>
                    <xdr:row>29</xdr:row>
                    <xdr:rowOff>12700</xdr:rowOff>
                  </to>
                </anchor>
              </controlPr>
            </control>
          </mc:Choice>
        </mc:AlternateContent>
        <mc:AlternateContent xmlns:mc="http://schemas.openxmlformats.org/markup-compatibility/2006">
          <mc:Choice Requires="x14">
            <control shapeId="19481" r:id="rId27" name="Check Box 25">
              <controlPr defaultSize="0" autoFill="0" autoLine="0" autoPict="0">
                <anchor moveWithCells="1">
                  <from>
                    <xdr:col>3</xdr:col>
                    <xdr:colOff>0</xdr:colOff>
                    <xdr:row>28</xdr:row>
                    <xdr:rowOff>171450</xdr:rowOff>
                  </from>
                  <to>
                    <xdr:col>5</xdr:col>
                    <xdr:colOff>0</xdr:colOff>
                    <xdr:row>30</xdr:row>
                    <xdr:rowOff>19050</xdr:rowOff>
                  </to>
                </anchor>
              </controlPr>
            </control>
          </mc:Choice>
        </mc:AlternateContent>
        <mc:AlternateContent xmlns:mc="http://schemas.openxmlformats.org/markup-compatibility/2006">
          <mc:Choice Requires="x14">
            <control shapeId="19482" r:id="rId28" name="Check Box 26">
              <controlPr defaultSize="0" autoFill="0" autoLine="0" autoPict="0">
                <anchor moveWithCells="1">
                  <from>
                    <xdr:col>3</xdr:col>
                    <xdr:colOff>0</xdr:colOff>
                    <xdr:row>29</xdr:row>
                    <xdr:rowOff>171450</xdr:rowOff>
                  </from>
                  <to>
                    <xdr:col>5</xdr:col>
                    <xdr:colOff>0</xdr:colOff>
                    <xdr:row>31</xdr:row>
                    <xdr:rowOff>19050</xdr:rowOff>
                  </to>
                </anchor>
              </controlPr>
            </control>
          </mc:Choice>
        </mc:AlternateContent>
        <mc:AlternateContent xmlns:mc="http://schemas.openxmlformats.org/markup-compatibility/2006">
          <mc:Choice Requires="x14">
            <control shapeId="19483" r:id="rId29" name="Check Box 27">
              <controlPr defaultSize="0" autoFill="0" autoLine="0" autoPict="0">
                <anchor moveWithCells="1">
                  <from>
                    <xdr:col>3</xdr:col>
                    <xdr:colOff>0</xdr:colOff>
                    <xdr:row>30</xdr:row>
                    <xdr:rowOff>171450</xdr:rowOff>
                  </from>
                  <to>
                    <xdr:col>5</xdr:col>
                    <xdr:colOff>0</xdr:colOff>
                    <xdr:row>32</xdr:row>
                    <xdr:rowOff>19050</xdr:rowOff>
                  </to>
                </anchor>
              </controlPr>
            </control>
          </mc:Choice>
        </mc:AlternateContent>
        <mc:AlternateContent xmlns:mc="http://schemas.openxmlformats.org/markup-compatibility/2006">
          <mc:Choice Requires="x14">
            <control shapeId="19484" r:id="rId30" name="Check Box 28">
              <controlPr defaultSize="0" autoFill="0" autoLine="0" autoPict="0">
                <anchor moveWithCells="1">
                  <from>
                    <xdr:col>3</xdr:col>
                    <xdr:colOff>0</xdr:colOff>
                    <xdr:row>31</xdr:row>
                    <xdr:rowOff>171450</xdr:rowOff>
                  </from>
                  <to>
                    <xdr:col>5</xdr:col>
                    <xdr:colOff>0</xdr:colOff>
                    <xdr:row>33</xdr:row>
                    <xdr:rowOff>12700</xdr:rowOff>
                  </to>
                </anchor>
              </controlPr>
            </control>
          </mc:Choice>
        </mc:AlternateContent>
        <mc:AlternateContent xmlns:mc="http://schemas.openxmlformats.org/markup-compatibility/2006">
          <mc:Choice Requires="x14">
            <control shapeId="19485" r:id="rId31" name="Check Box 29">
              <controlPr defaultSize="0" autoFill="0" autoLine="0" autoPict="0">
                <anchor moveWithCells="1">
                  <from>
                    <xdr:col>7</xdr:col>
                    <xdr:colOff>0</xdr:colOff>
                    <xdr:row>2</xdr:row>
                    <xdr:rowOff>171450</xdr:rowOff>
                  </from>
                  <to>
                    <xdr:col>9</xdr:col>
                    <xdr:colOff>0</xdr:colOff>
                    <xdr:row>4</xdr:row>
                    <xdr:rowOff>6350</xdr:rowOff>
                  </to>
                </anchor>
              </controlPr>
            </control>
          </mc:Choice>
        </mc:AlternateContent>
        <mc:AlternateContent xmlns:mc="http://schemas.openxmlformats.org/markup-compatibility/2006">
          <mc:Choice Requires="x14">
            <control shapeId="19486" r:id="rId32" name="Check Box 30">
              <controlPr defaultSize="0" autoFill="0" autoLine="0" autoPict="0">
                <anchor moveWithCells="1">
                  <from>
                    <xdr:col>7</xdr:col>
                    <xdr:colOff>0</xdr:colOff>
                    <xdr:row>3</xdr:row>
                    <xdr:rowOff>171450</xdr:rowOff>
                  </from>
                  <to>
                    <xdr:col>9</xdr:col>
                    <xdr:colOff>0</xdr:colOff>
                    <xdr:row>5</xdr:row>
                    <xdr:rowOff>12700</xdr:rowOff>
                  </to>
                </anchor>
              </controlPr>
            </control>
          </mc:Choice>
        </mc:AlternateContent>
        <mc:AlternateContent xmlns:mc="http://schemas.openxmlformats.org/markup-compatibility/2006">
          <mc:Choice Requires="x14">
            <control shapeId="19487" r:id="rId33" name="Check Box 31">
              <controlPr defaultSize="0" autoFill="0" autoLine="0" autoPict="0">
                <anchor moveWithCells="1">
                  <from>
                    <xdr:col>7</xdr:col>
                    <xdr:colOff>0</xdr:colOff>
                    <xdr:row>4</xdr:row>
                    <xdr:rowOff>171450</xdr:rowOff>
                  </from>
                  <to>
                    <xdr:col>9</xdr:col>
                    <xdr:colOff>0</xdr:colOff>
                    <xdr:row>6</xdr:row>
                    <xdr:rowOff>12700</xdr:rowOff>
                  </to>
                </anchor>
              </controlPr>
            </control>
          </mc:Choice>
        </mc:AlternateContent>
        <mc:AlternateContent xmlns:mc="http://schemas.openxmlformats.org/markup-compatibility/2006">
          <mc:Choice Requires="x14">
            <control shapeId="19488" r:id="rId34" name="Check Box 32">
              <controlPr defaultSize="0" autoFill="0" autoLine="0" autoPict="0">
                <anchor moveWithCells="1">
                  <from>
                    <xdr:col>7</xdr:col>
                    <xdr:colOff>0</xdr:colOff>
                    <xdr:row>5</xdr:row>
                    <xdr:rowOff>171450</xdr:rowOff>
                  </from>
                  <to>
                    <xdr:col>9</xdr:col>
                    <xdr:colOff>0</xdr:colOff>
                    <xdr:row>7</xdr:row>
                    <xdr:rowOff>12700</xdr:rowOff>
                  </to>
                </anchor>
              </controlPr>
            </control>
          </mc:Choice>
        </mc:AlternateContent>
        <mc:AlternateContent xmlns:mc="http://schemas.openxmlformats.org/markup-compatibility/2006">
          <mc:Choice Requires="x14">
            <control shapeId="19489" r:id="rId35" name="Check Box 33">
              <controlPr defaultSize="0" autoFill="0" autoLine="0" autoPict="0">
                <anchor moveWithCells="1">
                  <from>
                    <xdr:col>7</xdr:col>
                    <xdr:colOff>0</xdr:colOff>
                    <xdr:row>6</xdr:row>
                    <xdr:rowOff>171450</xdr:rowOff>
                  </from>
                  <to>
                    <xdr:col>9</xdr:col>
                    <xdr:colOff>0</xdr:colOff>
                    <xdr:row>8</xdr:row>
                    <xdr:rowOff>19050</xdr:rowOff>
                  </to>
                </anchor>
              </controlPr>
            </control>
          </mc:Choice>
        </mc:AlternateContent>
        <mc:AlternateContent xmlns:mc="http://schemas.openxmlformats.org/markup-compatibility/2006">
          <mc:Choice Requires="x14">
            <control shapeId="19490" r:id="rId36" name="Check Box 34">
              <controlPr defaultSize="0" autoFill="0" autoLine="0" autoPict="0">
                <anchor moveWithCells="1">
                  <from>
                    <xdr:col>7</xdr:col>
                    <xdr:colOff>0</xdr:colOff>
                    <xdr:row>7</xdr:row>
                    <xdr:rowOff>171450</xdr:rowOff>
                  </from>
                  <to>
                    <xdr:col>9</xdr:col>
                    <xdr:colOff>0</xdr:colOff>
                    <xdr:row>9</xdr:row>
                    <xdr:rowOff>19050</xdr:rowOff>
                  </to>
                </anchor>
              </controlPr>
            </control>
          </mc:Choice>
        </mc:AlternateContent>
        <mc:AlternateContent xmlns:mc="http://schemas.openxmlformats.org/markup-compatibility/2006">
          <mc:Choice Requires="x14">
            <control shapeId="19491" r:id="rId37" name="Check Box 35">
              <controlPr defaultSize="0" autoFill="0" autoLine="0" autoPict="0">
                <anchor moveWithCells="1">
                  <from>
                    <xdr:col>7</xdr:col>
                    <xdr:colOff>0</xdr:colOff>
                    <xdr:row>8</xdr:row>
                    <xdr:rowOff>171450</xdr:rowOff>
                  </from>
                  <to>
                    <xdr:col>9</xdr:col>
                    <xdr:colOff>0</xdr:colOff>
                    <xdr:row>10</xdr:row>
                    <xdr:rowOff>19050</xdr:rowOff>
                  </to>
                </anchor>
              </controlPr>
            </control>
          </mc:Choice>
        </mc:AlternateContent>
        <mc:AlternateContent xmlns:mc="http://schemas.openxmlformats.org/markup-compatibility/2006">
          <mc:Choice Requires="x14">
            <control shapeId="19492" r:id="rId38" name="Check Box 36">
              <controlPr defaultSize="0" autoFill="0" autoLine="0" autoPict="0">
                <anchor moveWithCells="1">
                  <from>
                    <xdr:col>7</xdr:col>
                    <xdr:colOff>0</xdr:colOff>
                    <xdr:row>9</xdr:row>
                    <xdr:rowOff>171450</xdr:rowOff>
                  </from>
                  <to>
                    <xdr:col>9</xdr:col>
                    <xdr:colOff>0</xdr:colOff>
                    <xdr:row>11</xdr:row>
                    <xdr:rowOff>12700</xdr:rowOff>
                  </to>
                </anchor>
              </controlPr>
            </control>
          </mc:Choice>
        </mc:AlternateContent>
        <mc:AlternateContent xmlns:mc="http://schemas.openxmlformats.org/markup-compatibility/2006">
          <mc:Choice Requires="x14">
            <control shapeId="19498" r:id="rId39" name="Check Box 42">
              <controlPr defaultSize="0" autoFill="0" autoLine="0" autoPict="0">
                <anchor moveWithCells="1">
                  <from>
                    <xdr:col>7</xdr:col>
                    <xdr:colOff>0</xdr:colOff>
                    <xdr:row>15</xdr:row>
                    <xdr:rowOff>171450</xdr:rowOff>
                  </from>
                  <to>
                    <xdr:col>9</xdr:col>
                    <xdr:colOff>0</xdr:colOff>
                    <xdr:row>17</xdr:row>
                    <xdr:rowOff>6350</xdr:rowOff>
                  </to>
                </anchor>
              </controlPr>
            </control>
          </mc:Choice>
        </mc:AlternateContent>
        <mc:AlternateContent xmlns:mc="http://schemas.openxmlformats.org/markup-compatibility/2006">
          <mc:Choice Requires="x14">
            <control shapeId="19499" r:id="rId40" name="Check Box 43">
              <controlPr defaultSize="0" autoFill="0" autoLine="0" autoPict="0">
                <anchor moveWithCells="1">
                  <from>
                    <xdr:col>7</xdr:col>
                    <xdr:colOff>0</xdr:colOff>
                    <xdr:row>16</xdr:row>
                    <xdr:rowOff>171450</xdr:rowOff>
                  </from>
                  <to>
                    <xdr:col>9</xdr:col>
                    <xdr:colOff>0</xdr:colOff>
                    <xdr:row>18</xdr:row>
                    <xdr:rowOff>12700</xdr:rowOff>
                  </to>
                </anchor>
              </controlPr>
            </control>
          </mc:Choice>
        </mc:AlternateContent>
        <mc:AlternateContent xmlns:mc="http://schemas.openxmlformats.org/markup-compatibility/2006">
          <mc:Choice Requires="x14">
            <control shapeId="19500" r:id="rId41" name="Check Box 44">
              <controlPr defaultSize="0" autoFill="0" autoLine="0" autoPict="0">
                <anchor moveWithCells="1">
                  <from>
                    <xdr:col>7</xdr:col>
                    <xdr:colOff>0</xdr:colOff>
                    <xdr:row>17</xdr:row>
                    <xdr:rowOff>171450</xdr:rowOff>
                  </from>
                  <to>
                    <xdr:col>9</xdr:col>
                    <xdr:colOff>0</xdr:colOff>
                    <xdr:row>19</xdr:row>
                    <xdr:rowOff>12700</xdr:rowOff>
                  </to>
                </anchor>
              </controlPr>
            </control>
          </mc:Choice>
        </mc:AlternateContent>
        <mc:AlternateContent xmlns:mc="http://schemas.openxmlformats.org/markup-compatibility/2006">
          <mc:Choice Requires="x14">
            <control shapeId="19501" r:id="rId42" name="Check Box 45">
              <controlPr defaultSize="0" autoFill="0" autoLine="0" autoPict="0">
                <anchor moveWithCells="1">
                  <from>
                    <xdr:col>7</xdr:col>
                    <xdr:colOff>0</xdr:colOff>
                    <xdr:row>18</xdr:row>
                    <xdr:rowOff>171450</xdr:rowOff>
                  </from>
                  <to>
                    <xdr:col>9</xdr:col>
                    <xdr:colOff>0</xdr:colOff>
                    <xdr:row>20</xdr:row>
                    <xdr:rowOff>12700</xdr:rowOff>
                  </to>
                </anchor>
              </controlPr>
            </control>
          </mc:Choice>
        </mc:AlternateContent>
        <mc:AlternateContent xmlns:mc="http://schemas.openxmlformats.org/markup-compatibility/2006">
          <mc:Choice Requires="x14">
            <control shapeId="19502" r:id="rId43" name="Check Box 46">
              <controlPr defaultSize="0" autoFill="0" autoLine="0" autoPict="0">
                <anchor moveWithCells="1">
                  <from>
                    <xdr:col>7</xdr:col>
                    <xdr:colOff>0</xdr:colOff>
                    <xdr:row>19</xdr:row>
                    <xdr:rowOff>171450</xdr:rowOff>
                  </from>
                  <to>
                    <xdr:col>9</xdr:col>
                    <xdr:colOff>0</xdr:colOff>
                    <xdr:row>21</xdr:row>
                    <xdr:rowOff>19050</xdr:rowOff>
                  </to>
                </anchor>
              </controlPr>
            </control>
          </mc:Choice>
        </mc:AlternateContent>
        <mc:AlternateContent xmlns:mc="http://schemas.openxmlformats.org/markup-compatibility/2006">
          <mc:Choice Requires="x14">
            <control shapeId="19503" r:id="rId44" name="Check Box 47">
              <controlPr defaultSize="0" autoFill="0" autoLine="0" autoPict="0">
                <anchor moveWithCells="1">
                  <from>
                    <xdr:col>7</xdr:col>
                    <xdr:colOff>0</xdr:colOff>
                    <xdr:row>20</xdr:row>
                    <xdr:rowOff>171450</xdr:rowOff>
                  </from>
                  <to>
                    <xdr:col>9</xdr:col>
                    <xdr:colOff>0</xdr:colOff>
                    <xdr:row>22</xdr:row>
                    <xdr:rowOff>19050</xdr:rowOff>
                  </to>
                </anchor>
              </controlPr>
            </control>
          </mc:Choice>
        </mc:AlternateContent>
        <mc:AlternateContent xmlns:mc="http://schemas.openxmlformats.org/markup-compatibility/2006">
          <mc:Choice Requires="x14">
            <control shapeId="19507" r:id="rId45" name="Check Box 51">
              <controlPr defaultSize="0" autoFill="0" autoLine="0" autoPict="0">
                <anchor moveWithCells="1">
                  <from>
                    <xdr:col>7</xdr:col>
                    <xdr:colOff>0</xdr:colOff>
                    <xdr:row>27</xdr:row>
                    <xdr:rowOff>171450</xdr:rowOff>
                  </from>
                  <to>
                    <xdr:col>9</xdr:col>
                    <xdr:colOff>0</xdr:colOff>
                    <xdr:row>29</xdr:row>
                    <xdr:rowOff>12700</xdr:rowOff>
                  </to>
                </anchor>
              </controlPr>
            </control>
          </mc:Choice>
        </mc:AlternateContent>
        <mc:AlternateContent xmlns:mc="http://schemas.openxmlformats.org/markup-compatibility/2006">
          <mc:Choice Requires="x14">
            <control shapeId="19508" r:id="rId46" name="Check Box 52">
              <controlPr defaultSize="0" autoFill="0" autoLine="0" autoPict="0">
                <anchor moveWithCells="1">
                  <from>
                    <xdr:col>7</xdr:col>
                    <xdr:colOff>0</xdr:colOff>
                    <xdr:row>28</xdr:row>
                    <xdr:rowOff>171450</xdr:rowOff>
                  </from>
                  <to>
                    <xdr:col>9</xdr:col>
                    <xdr:colOff>0</xdr:colOff>
                    <xdr:row>30</xdr:row>
                    <xdr:rowOff>19050</xdr:rowOff>
                  </to>
                </anchor>
              </controlPr>
            </control>
          </mc:Choice>
        </mc:AlternateContent>
        <mc:AlternateContent xmlns:mc="http://schemas.openxmlformats.org/markup-compatibility/2006">
          <mc:Choice Requires="x14">
            <control shapeId="19509" r:id="rId47" name="Check Box 53">
              <controlPr defaultSize="0" autoFill="0" autoLine="0" autoPict="0">
                <anchor moveWithCells="1">
                  <from>
                    <xdr:col>7</xdr:col>
                    <xdr:colOff>0</xdr:colOff>
                    <xdr:row>29</xdr:row>
                    <xdr:rowOff>171450</xdr:rowOff>
                  </from>
                  <to>
                    <xdr:col>9</xdr:col>
                    <xdr:colOff>0</xdr:colOff>
                    <xdr:row>31</xdr:row>
                    <xdr:rowOff>19050</xdr:rowOff>
                  </to>
                </anchor>
              </controlPr>
            </control>
          </mc:Choice>
        </mc:AlternateContent>
        <mc:AlternateContent xmlns:mc="http://schemas.openxmlformats.org/markup-compatibility/2006">
          <mc:Choice Requires="x14">
            <control shapeId="19510" r:id="rId48" name="Check Box 54">
              <controlPr defaultSize="0" autoFill="0" autoLine="0" autoPict="0">
                <anchor moveWithCells="1">
                  <from>
                    <xdr:col>7</xdr:col>
                    <xdr:colOff>0</xdr:colOff>
                    <xdr:row>30</xdr:row>
                    <xdr:rowOff>171450</xdr:rowOff>
                  </from>
                  <to>
                    <xdr:col>9</xdr:col>
                    <xdr:colOff>0</xdr:colOff>
                    <xdr:row>32</xdr:row>
                    <xdr:rowOff>19050</xdr:rowOff>
                  </to>
                </anchor>
              </controlPr>
            </control>
          </mc:Choice>
        </mc:AlternateContent>
        <mc:AlternateContent xmlns:mc="http://schemas.openxmlformats.org/markup-compatibility/2006">
          <mc:Choice Requires="x14">
            <control shapeId="19511" r:id="rId49" name="Check Box 55">
              <controlPr defaultSize="0" autoFill="0" autoLine="0" autoPict="0">
                <anchor moveWithCells="1">
                  <from>
                    <xdr:col>7</xdr:col>
                    <xdr:colOff>0</xdr:colOff>
                    <xdr:row>31</xdr:row>
                    <xdr:rowOff>171450</xdr:rowOff>
                  </from>
                  <to>
                    <xdr:col>9</xdr:col>
                    <xdr:colOff>0</xdr:colOff>
                    <xdr:row>33</xdr:row>
                    <xdr:rowOff>12700</xdr:rowOff>
                  </to>
                </anchor>
              </controlPr>
            </control>
          </mc:Choice>
        </mc:AlternateContent>
        <mc:AlternateContent xmlns:mc="http://schemas.openxmlformats.org/markup-compatibility/2006">
          <mc:Choice Requires="x14">
            <control shapeId="19512" r:id="rId50" name="Check Box 56">
              <controlPr defaultSize="0" autoFill="0" autoLine="0" autoPict="0">
                <anchor moveWithCells="1">
                  <from>
                    <xdr:col>11</xdr:col>
                    <xdr:colOff>0</xdr:colOff>
                    <xdr:row>5</xdr:row>
                    <xdr:rowOff>171450</xdr:rowOff>
                  </from>
                  <to>
                    <xdr:col>13</xdr:col>
                    <xdr:colOff>285750</xdr:colOff>
                    <xdr:row>7</xdr:row>
                    <xdr:rowOff>12700</xdr:rowOff>
                  </to>
                </anchor>
              </controlPr>
            </control>
          </mc:Choice>
        </mc:AlternateContent>
        <mc:AlternateContent xmlns:mc="http://schemas.openxmlformats.org/markup-compatibility/2006">
          <mc:Choice Requires="x14">
            <control shapeId="19513" r:id="rId51" name="Check Box 57">
              <controlPr defaultSize="0" autoFill="0" autoLine="0" autoPict="0">
                <anchor moveWithCells="1">
                  <from>
                    <xdr:col>11</xdr:col>
                    <xdr:colOff>0</xdr:colOff>
                    <xdr:row>6</xdr:row>
                    <xdr:rowOff>171450</xdr:rowOff>
                  </from>
                  <to>
                    <xdr:col>13</xdr:col>
                    <xdr:colOff>285750</xdr:colOff>
                    <xdr:row>8</xdr:row>
                    <xdr:rowOff>19050</xdr:rowOff>
                  </to>
                </anchor>
              </controlPr>
            </control>
          </mc:Choice>
        </mc:AlternateContent>
        <mc:AlternateContent xmlns:mc="http://schemas.openxmlformats.org/markup-compatibility/2006">
          <mc:Choice Requires="x14">
            <control shapeId="19514" r:id="rId52" name="Check Box 58">
              <controlPr defaultSize="0" autoFill="0" autoLine="0" autoPict="0">
                <anchor moveWithCells="1">
                  <from>
                    <xdr:col>11</xdr:col>
                    <xdr:colOff>0</xdr:colOff>
                    <xdr:row>7</xdr:row>
                    <xdr:rowOff>171450</xdr:rowOff>
                  </from>
                  <to>
                    <xdr:col>13</xdr:col>
                    <xdr:colOff>285750</xdr:colOff>
                    <xdr:row>9</xdr:row>
                    <xdr:rowOff>19050</xdr:rowOff>
                  </to>
                </anchor>
              </controlPr>
            </control>
          </mc:Choice>
        </mc:AlternateContent>
        <mc:AlternateContent xmlns:mc="http://schemas.openxmlformats.org/markup-compatibility/2006">
          <mc:Choice Requires="x14">
            <control shapeId="19515" r:id="rId53" name="Check Box 59">
              <controlPr defaultSize="0" autoFill="0" autoLine="0" autoPict="0">
                <anchor moveWithCells="1">
                  <from>
                    <xdr:col>11</xdr:col>
                    <xdr:colOff>0</xdr:colOff>
                    <xdr:row>8</xdr:row>
                    <xdr:rowOff>171450</xdr:rowOff>
                  </from>
                  <to>
                    <xdr:col>13</xdr:col>
                    <xdr:colOff>285750</xdr:colOff>
                    <xdr:row>10</xdr:row>
                    <xdr:rowOff>19050</xdr:rowOff>
                  </to>
                </anchor>
              </controlPr>
            </control>
          </mc:Choice>
        </mc:AlternateContent>
        <mc:AlternateContent xmlns:mc="http://schemas.openxmlformats.org/markup-compatibility/2006">
          <mc:Choice Requires="x14">
            <control shapeId="19516" r:id="rId54" name="Check Box 60">
              <controlPr defaultSize="0" autoFill="0" autoLine="0" autoPict="0">
                <anchor moveWithCells="1">
                  <from>
                    <xdr:col>11</xdr:col>
                    <xdr:colOff>0</xdr:colOff>
                    <xdr:row>9</xdr:row>
                    <xdr:rowOff>171450</xdr:rowOff>
                  </from>
                  <to>
                    <xdr:col>13</xdr:col>
                    <xdr:colOff>285750</xdr:colOff>
                    <xdr:row>11</xdr:row>
                    <xdr:rowOff>12700</xdr:rowOff>
                  </to>
                </anchor>
              </controlPr>
            </control>
          </mc:Choice>
        </mc:AlternateContent>
        <mc:AlternateContent xmlns:mc="http://schemas.openxmlformats.org/markup-compatibility/2006">
          <mc:Choice Requires="x14">
            <control shapeId="19517" r:id="rId55" name="Check Box 61">
              <controlPr defaultSize="0" autoFill="0" autoLine="0" autoPict="0">
                <anchor moveWithCells="1">
                  <from>
                    <xdr:col>11</xdr:col>
                    <xdr:colOff>0</xdr:colOff>
                    <xdr:row>10</xdr:row>
                    <xdr:rowOff>171450</xdr:rowOff>
                  </from>
                  <to>
                    <xdr:col>13</xdr:col>
                    <xdr:colOff>285750</xdr:colOff>
                    <xdr:row>12</xdr:row>
                    <xdr:rowOff>6350</xdr:rowOff>
                  </to>
                </anchor>
              </controlPr>
            </control>
          </mc:Choice>
        </mc:AlternateContent>
        <mc:AlternateContent xmlns:mc="http://schemas.openxmlformats.org/markup-compatibility/2006">
          <mc:Choice Requires="x14">
            <control shapeId="19518" r:id="rId56" name="Check Box 62">
              <controlPr defaultSize="0" autoFill="0" autoLine="0" autoPict="0">
                <anchor moveWithCells="1">
                  <from>
                    <xdr:col>11</xdr:col>
                    <xdr:colOff>0</xdr:colOff>
                    <xdr:row>11</xdr:row>
                    <xdr:rowOff>171450</xdr:rowOff>
                  </from>
                  <to>
                    <xdr:col>13</xdr:col>
                    <xdr:colOff>285750</xdr:colOff>
                    <xdr:row>13</xdr:row>
                    <xdr:rowOff>6350</xdr:rowOff>
                  </to>
                </anchor>
              </controlPr>
            </control>
          </mc:Choice>
        </mc:AlternateContent>
        <mc:AlternateContent xmlns:mc="http://schemas.openxmlformats.org/markup-compatibility/2006">
          <mc:Choice Requires="x14">
            <control shapeId="19519" r:id="rId57" name="Check Box 63">
              <controlPr defaultSize="0" autoFill="0" autoLine="0" autoPict="0">
                <anchor moveWithCells="1">
                  <from>
                    <xdr:col>11</xdr:col>
                    <xdr:colOff>0</xdr:colOff>
                    <xdr:row>2</xdr:row>
                    <xdr:rowOff>177800</xdr:rowOff>
                  </from>
                  <to>
                    <xdr:col>13</xdr:col>
                    <xdr:colOff>285750</xdr:colOff>
                    <xdr:row>4</xdr:row>
                    <xdr:rowOff>12700</xdr:rowOff>
                  </to>
                </anchor>
              </controlPr>
            </control>
          </mc:Choice>
        </mc:AlternateContent>
        <mc:AlternateContent xmlns:mc="http://schemas.openxmlformats.org/markup-compatibility/2006">
          <mc:Choice Requires="x14">
            <control shapeId="19520" r:id="rId58" name="Check Box 64">
              <controlPr defaultSize="0" autoFill="0" autoLine="0" autoPict="0">
                <anchor moveWithCells="1">
                  <from>
                    <xdr:col>11</xdr:col>
                    <xdr:colOff>0</xdr:colOff>
                    <xdr:row>3</xdr:row>
                    <xdr:rowOff>177800</xdr:rowOff>
                  </from>
                  <to>
                    <xdr:col>13</xdr:col>
                    <xdr:colOff>285750</xdr:colOff>
                    <xdr:row>5</xdr:row>
                    <xdr:rowOff>19050</xdr:rowOff>
                  </to>
                </anchor>
              </controlPr>
            </control>
          </mc:Choice>
        </mc:AlternateContent>
        <mc:AlternateContent xmlns:mc="http://schemas.openxmlformats.org/markup-compatibility/2006">
          <mc:Choice Requires="x14">
            <control shapeId="19521" r:id="rId59" name="Check Box 65">
              <controlPr defaultSize="0" autoFill="0" autoLine="0" autoPict="0">
                <anchor moveWithCells="1">
                  <from>
                    <xdr:col>11</xdr:col>
                    <xdr:colOff>0</xdr:colOff>
                    <xdr:row>4</xdr:row>
                    <xdr:rowOff>177800</xdr:rowOff>
                  </from>
                  <to>
                    <xdr:col>13</xdr:col>
                    <xdr:colOff>285750</xdr:colOff>
                    <xdr:row>6</xdr:row>
                    <xdr:rowOff>19050</xdr:rowOff>
                  </to>
                </anchor>
              </controlPr>
            </control>
          </mc:Choice>
        </mc:AlternateContent>
        <mc:AlternateContent xmlns:mc="http://schemas.openxmlformats.org/markup-compatibility/2006">
          <mc:Choice Requires="x14">
            <control shapeId="19525" r:id="rId60" name="Check Box 69">
              <controlPr defaultSize="0" autoFill="0" autoLine="0" autoPict="0">
                <anchor moveWithCells="1">
                  <from>
                    <xdr:col>11</xdr:col>
                    <xdr:colOff>0</xdr:colOff>
                    <xdr:row>18</xdr:row>
                    <xdr:rowOff>171450</xdr:rowOff>
                  </from>
                  <to>
                    <xdr:col>13</xdr:col>
                    <xdr:colOff>285750</xdr:colOff>
                    <xdr:row>20</xdr:row>
                    <xdr:rowOff>12700</xdr:rowOff>
                  </to>
                </anchor>
              </controlPr>
            </control>
          </mc:Choice>
        </mc:AlternateContent>
        <mc:AlternateContent xmlns:mc="http://schemas.openxmlformats.org/markup-compatibility/2006">
          <mc:Choice Requires="x14">
            <control shapeId="19526" r:id="rId61" name="Check Box 70">
              <controlPr defaultSize="0" autoFill="0" autoLine="0" autoPict="0">
                <anchor moveWithCells="1">
                  <from>
                    <xdr:col>11</xdr:col>
                    <xdr:colOff>0</xdr:colOff>
                    <xdr:row>19</xdr:row>
                    <xdr:rowOff>171450</xdr:rowOff>
                  </from>
                  <to>
                    <xdr:col>13</xdr:col>
                    <xdr:colOff>285750</xdr:colOff>
                    <xdr:row>21</xdr:row>
                    <xdr:rowOff>19050</xdr:rowOff>
                  </to>
                </anchor>
              </controlPr>
            </control>
          </mc:Choice>
        </mc:AlternateContent>
        <mc:AlternateContent xmlns:mc="http://schemas.openxmlformats.org/markup-compatibility/2006">
          <mc:Choice Requires="x14">
            <control shapeId="19527" r:id="rId62" name="Check Box 71">
              <controlPr defaultSize="0" autoFill="0" autoLine="0" autoPict="0">
                <anchor moveWithCells="1">
                  <from>
                    <xdr:col>11</xdr:col>
                    <xdr:colOff>0</xdr:colOff>
                    <xdr:row>20</xdr:row>
                    <xdr:rowOff>171450</xdr:rowOff>
                  </from>
                  <to>
                    <xdr:col>13</xdr:col>
                    <xdr:colOff>285750</xdr:colOff>
                    <xdr:row>22</xdr:row>
                    <xdr:rowOff>19050</xdr:rowOff>
                  </to>
                </anchor>
              </controlPr>
            </control>
          </mc:Choice>
        </mc:AlternateContent>
        <mc:AlternateContent xmlns:mc="http://schemas.openxmlformats.org/markup-compatibility/2006">
          <mc:Choice Requires="x14">
            <control shapeId="19528" r:id="rId63" name="Check Box 72">
              <controlPr defaultSize="0" autoFill="0" autoLine="0" autoPict="0">
                <anchor moveWithCells="1">
                  <from>
                    <xdr:col>11</xdr:col>
                    <xdr:colOff>0</xdr:colOff>
                    <xdr:row>21</xdr:row>
                    <xdr:rowOff>171450</xdr:rowOff>
                  </from>
                  <to>
                    <xdr:col>13</xdr:col>
                    <xdr:colOff>285750</xdr:colOff>
                    <xdr:row>23</xdr:row>
                    <xdr:rowOff>19050</xdr:rowOff>
                  </to>
                </anchor>
              </controlPr>
            </control>
          </mc:Choice>
        </mc:AlternateContent>
        <mc:AlternateContent xmlns:mc="http://schemas.openxmlformats.org/markup-compatibility/2006">
          <mc:Choice Requires="x14">
            <control shapeId="19529" r:id="rId64" name="Check Box 73">
              <controlPr defaultSize="0" autoFill="0" autoLine="0" autoPict="0">
                <anchor moveWithCells="1">
                  <from>
                    <xdr:col>11</xdr:col>
                    <xdr:colOff>0</xdr:colOff>
                    <xdr:row>22</xdr:row>
                    <xdr:rowOff>171450</xdr:rowOff>
                  </from>
                  <to>
                    <xdr:col>13</xdr:col>
                    <xdr:colOff>285750</xdr:colOff>
                    <xdr:row>24</xdr:row>
                    <xdr:rowOff>19050</xdr:rowOff>
                  </to>
                </anchor>
              </controlPr>
            </control>
          </mc:Choice>
        </mc:AlternateContent>
        <mc:AlternateContent xmlns:mc="http://schemas.openxmlformats.org/markup-compatibility/2006">
          <mc:Choice Requires="x14">
            <control shapeId="19530" r:id="rId65" name="Check Box 74">
              <controlPr defaultSize="0" autoFill="0" autoLine="0" autoPict="0">
                <anchor moveWithCells="1">
                  <from>
                    <xdr:col>11</xdr:col>
                    <xdr:colOff>0</xdr:colOff>
                    <xdr:row>23</xdr:row>
                    <xdr:rowOff>171450</xdr:rowOff>
                  </from>
                  <to>
                    <xdr:col>13</xdr:col>
                    <xdr:colOff>285750</xdr:colOff>
                    <xdr:row>25</xdr:row>
                    <xdr:rowOff>12700</xdr:rowOff>
                  </to>
                </anchor>
              </controlPr>
            </control>
          </mc:Choice>
        </mc:AlternateContent>
        <mc:AlternateContent xmlns:mc="http://schemas.openxmlformats.org/markup-compatibility/2006">
          <mc:Choice Requires="x14">
            <control shapeId="19531" r:id="rId66" name="Check Box 75">
              <controlPr defaultSize="0" autoFill="0" autoLine="0" autoPict="0">
                <anchor moveWithCells="1">
                  <from>
                    <xdr:col>11</xdr:col>
                    <xdr:colOff>0</xdr:colOff>
                    <xdr:row>24</xdr:row>
                    <xdr:rowOff>171450</xdr:rowOff>
                  </from>
                  <to>
                    <xdr:col>13</xdr:col>
                    <xdr:colOff>285750</xdr:colOff>
                    <xdr:row>26</xdr:row>
                    <xdr:rowOff>6350</xdr:rowOff>
                  </to>
                </anchor>
              </controlPr>
            </control>
          </mc:Choice>
        </mc:AlternateContent>
        <mc:AlternateContent xmlns:mc="http://schemas.openxmlformats.org/markup-compatibility/2006">
          <mc:Choice Requires="x14">
            <control shapeId="19532" r:id="rId67" name="Check Box 76">
              <controlPr defaultSize="0" autoFill="0" autoLine="0" autoPict="0">
                <anchor moveWithCells="1">
                  <from>
                    <xdr:col>11</xdr:col>
                    <xdr:colOff>0</xdr:colOff>
                    <xdr:row>25</xdr:row>
                    <xdr:rowOff>171450</xdr:rowOff>
                  </from>
                  <to>
                    <xdr:col>13</xdr:col>
                    <xdr:colOff>285750</xdr:colOff>
                    <xdr:row>27</xdr:row>
                    <xdr:rowOff>12700</xdr:rowOff>
                  </to>
                </anchor>
              </controlPr>
            </control>
          </mc:Choice>
        </mc:AlternateContent>
        <mc:AlternateContent xmlns:mc="http://schemas.openxmlformats.org/markup-compatibility/2006">
          <mc:Choice Requires="x14">
            <control shapeId="19533" r:id="rId68" name="Check Box 77">
              <controlPr defaultSize="0" autoFill="0" autoLine="0" autoPict="0">
                <anchor moveWithCells="1">
                  <from>
                    <xdr:col>11</xdr:col>
                    <xdr:colOff>0</xdr:colOff>
                    <xdr:row>26</xdr:row>
                    <xdr:rowOff>171450</xdr:rowOff>
                  </from>
                  <to>
                    <xdr:col>13</xdr:col>
                    <xdr:colOff>285750</xdr:colOff>
                    <xdr:row>28</xdr:row>
                    <xdr:rowOff>12700</xdr:rowOff>
                  </to>
                </anchor>
              </controlPr>
            </control>
          </mc:Choice>
        </mc:AlternateContent>
        <mc:AlternateContent xmlns:mc="http://schemas.openxmlformats.org/markup-compatibility/2006">
          <mc:Choice Requires="x14">
            <control shapeId="19534" r:id="rId69" name="Check Box 78">
              <controlPr defaultSize="0" autoFill="0" autoLine="0" autoPict="0">
                <anchor moveWithCells="1">
                  <from>
                    <xdr:col>11</xdr:col>
                    <xdr:colOff>0</xdr:colOff>
                    <xdr:row>27</xdr:row>
                    <xdr:rowOff>171450</xdr:rowOff>
                  </from>
                  <to>
                    <xdr:col>13</xdr:col>
                    <xdr:colOff>285750</xdr:colOff>
                    <xdr:row>29</xdr:row>
                    <xdr:rowOff>12700</xdr:rowOff>
                  </to>
                </anchor>
              </controlPr>
            </control>
          </mc:Choice>
        </mc:AlternateContent>
        <mc:AlternateContent xmlns:mc="http://schemas.openxmlformats.org/markup-compatibility/2006">
          <mc:Choice Requires="x14">
            <control shapeId="19535" r:id="rId70" name="Check Box 79">
              <controlPr defaultSize="0" autoFill="0" autoLine="0" autoPict="0">
                <anchor moveWithCells="1">
                  <from>
                    <xdr:col>11</xdr:col>
                    <xdr:colOff>0</xdr:colOff>
                    <xdr:row>28</xdr:row>
                    <xdr:rowOff>171450</xdr:rowOff>
                  </from>
                  <to>
                    <xdr:col>13</xdr:col>
                    <xdr:colOff>285750</xdr:colOff>
                    <xdr:row>30</xdr:row>
                    <xdr:rowOff>19050</xdr:rowOff>
                  </to>
                </anchor>
              </controlPr>
            </control>
          </mc:Choice>
        </mc:AlternateContent>
        <mc:AlternateContent xmlns:mc="http://schemas.openxmlformats.org/markup-compatibility/2006">
          <mc:Choice Requires="x14">
            <control shapeId="19536" r:id="rId71" name="Check Box 80">
              <controlPr defaultSize="0" autoFill="0" autoLine="0" autoPict="0">
                <anchor moveWithCells="1">
                  <from>
                    <xdr:col>11</xdr:col>
                    <xdr:colOff>0</xdr:colOff>
                    <xdr:row>29</xdr:row>
                    <xdr:rowOff>171450</xdr:rowOff>
                  </from>
                  <to>
                    <xdr:col>13</xdr:col>
                    <xdr:colOff>285750</xdr:colOff>
                    <xdr:row>31</xdr:row>
                    <xdr:rowOff>19050</xdr:rowOff>
                  </to>
                </anchor>
              </controlPr>
            </control>
          </mc:Choice>
        </mc:AlternateContent>
        <mc:AlternateContent xmlns:mc="http://schemas.openxmlformats.org/markup-compatibility/2006">
          <mc:Choice Requires="x14">
            <control shapeId="19537" r:id="rId72" name="Check Box 81">
              <controlPr defaultSize="0" autoFill="0" autoLine="0" autoPict="0">
                <anchor moveWithCells="1">
                  <from>
                    <xdr:col>11</xdr:col>
                    <xdr:colOff>0</xdr:colOff>
                    <xdr:row>30</xdr:row>
                    <xdr:rowOff>171450</xdr:rowOff>
                  </from>
                  <to>
                    <xdr:col>13</xdr:col>
                    <xdr:colOff>285750</xdr:colOff>
                    <xdr:row>32</xdr:row>
                    <xdr:rowOff>19050</xdr:rowOff>
                  </to>
                </anchor>
              </controlPr>
            </control>
          </mc:Choice>
        </mc:AlternateContent>
        <mc:AlternateContent xmlns:mc="http://schemas.openxmlformats.org/markup-compatibility/2006">
          <mc:Choice Requires="x14">
            <control shapeId="19538" r:id="rId73" name="Check Box 82">
              <controlPr defaultSize="0" autoFill="0" autoLine="0" autoPict="0">
                <anchor moveWithCells="1">
                  <from>
                    <xdr:col>11</xdr:col>
                    <xdr:colOff>0</xdr:colOff>
                    <xdr:row>31</xdr:row>
                    <xdr:rowOff>171450</xdr:rowOff>
                  </from>
                  <to>
                    <xdr:col>13</xdr:col>
                    <xdr:colOff>285750</xdr:colOff>
                    <xdr:row>33</xdr:row>
                    <xdr:rowOff>12700</xdr:rowOff>
                  </to>
                </anchor>
              </controlPr>
            </control>
          </mc:Choice>
        </mc:AlternateContent>
        <mc:AlternateContent xmlns:mc="http://schemas.openxmlformats.org/markup-compatibility/2006">
          <mc:Choice Requires="x14">
            <control shapeId="19572" r:id="rId74" name="Check Box 116">
              <controlPr defaultSize="0" autoFill="0" autoLine="0" autoPict="0">
                <anchor moveWithCells="1">
                  <from>
                    <xdr:col>7</xdr:col>
                    <xdr:colOff>0</xdr:colOff>
                    <xdr:row>14</xdr:row>
                    <xdr:rowOff>171450</xdr:rowOff>
                  </from>
                  <to>
                    <xdr:col>9</xdr:col>
                    <xdr:colOff>0</xdr:colOff>
                    <xdr:row>16</xdr:row>
                    <xdr:rowOff>12700</xdr:rowOff>
                  </to>
                </anchor>
              </controlPr>
            </control>
          </mc:Choice>
        </mc:AlternateContent>
        <mc:AlternateContent xmlns:mc="http://schemas.openxmlformats.org/markup-compatibility/2006">
          <mc:Choice Requires="x14">
            <control shapeId="19573" r:id="rId75" name="Check Box 117">
              <controlPr defaultSize="0" autoFill="0" autoLine="0" autoPict="0">
                <anchor moveWithCells="1">
                  <from>
                    <xdr:col>7</xdr:col>
                    <xdr:colOff>0</xdr:colOff>
                    <xdr:row>13</xdr:row>
                    <xdr:rowOff>184150</xdr:rowOff>
                  </from>
                  <to>
                    <xdr:col>9</xdr:col>
                    <xdr:colOff>0</xdr:colOff>
                    <xdr:row>15</xdr:row>
                    <xdr:rowOff>25400</xdr:rowOff>
                  </to>
                </anchor>
              </controlPr>
            </control>
          </mc:Choice>
        </mc:AlternateContent>
        <mc:AlternateContent xmlns:mc="http://schemas.openxmlformats.org/markup-compatibility/2006">
          <mc:Choice Requires="x14">
            <control shapeId="19627" r:id="rId76" name="Check Box 171">
              <controlPr defaultSize="0" autoFill="0" autoLine="0" autoPict="0">
                <anchor moveWithCells="1">
                  <from>
                    <xdr:col>7</xdr:col>
                    <xdr:colOff>0</xdr:colOff>
                    <xdr:row>21</xdr:row>
                    <xdr:rowOff>171450</xdr:rowOff>
                  </from>
                  <to>
                    <xdr:col>9</xdr:col>
                    <xdr:colOff>0</xdr:colOff>
                    <xdr:row>23</xdr:row>
                    <xdr:rowOff>19050</xdr:rowOff>
                  </to>
                </anchor>
              </controlPr>
            </control>
          </mc:Choice>
        </mc:AlternateContent>
        <mc:AlternateContent xmlns:mc="http://schemas.openxmlformats.org/markup-compatibility/2006">
          <mc:Choice Requires="x14">
            <control shapeId="19628" r:id="rId77" name="Check Box 172">
              <controlPr defaultSize="0" autoFill="0" autoLine="0" autoPict="0">
                <anchor moveWithCells="1">
                  <from>
                    <xdr:col>7</xdr:col>
                    <xdr:colOff>0</xdr:colOff>
                    <xdr:row>22</xdr:row>
                    <xdr:rowOff>171450</xdr:rowOff>
                  </from>
                  <to>
                    <xdr:col>9</xdr:col>
                    <xdr:colOff>0</xdr:colOff>
                    <xdr:row>24</xdr:row>
                    <xdr:rowOff>19050</xdr:rowOff>
                  </to>
                </anchor>
              </controlPr>
            </control>
          </mc:Choice>
        </mc:AlternateContent>
        <mc:AlternateContent xmlns:mc="http://schemas.openxmlformats.org/markup-compatibility/2006">
          <mc:Choice Requires="x14">
            <control shapeId="19629" r:id="rId78" name="Check Box 173">
              <controlPr defaultSize="0" autoFill="0" autoLine="0" autoPict="0">
                <anchor moveWithCells="1">
                  <from>
                    <xdr:col>7</xdr:col>
                    <xdr:colOff>0</xdr:colOff>
                    <xdr:row>23</xdr:row>
                    <xdr:rowOff>171450</xdr:rowOff>
                  </from>
                  <to>
                    <xdr:col>9</xdr:col>
                    <xdr:colOff>0</xdr:colOff>
                    <xdr:row>25</xdr:row>
                    <xdr:rowOff>12700</xdr:rowOff>
                  </to>
                </anchor>
              </controlPr>
            </control>
          </mc:Choice>
        </mc:AlternateContent>
        <mc:AlternateContent xmlns:mc="http://schemas.openxmlformats.org/markup-compatibility/2006">
          <mc:Choice Requires="x14">
            <control shapeId="19630" r:id="rId79" name="Check Box 174">
              <controlPr defaultSize="0" autoFill="0" autoLine="0" autoPict="0">
                <anchor moveWithCells="1">
                  <from>
                    <xdr:col>11</xdr:col>
                    <xdr:colOff>6350</xdr:colOff>
                    <xdr:row>12</xdr:row>
                    <xdr:rowOff>177800</xdr:rowOff>
                  </from>
                  <to>
                    <xdr:col>13</xdr:col>
                    <xdr:colOff>292100</xdr:colOff>
                    <xdr:row>14</xdr:row>
                    <xdr:rowOff>12700</xdr:rowOff>
                  </to>
                </anchor>
              </controlPr>
            </control>
          </mc:Choice>
        </mc:AlternateContent>
        <mc:AlternateContent xmlns:mc="http://schemas.openxmlformats.org/markup-compatibility/2006">
          <mc:Choice Requires="x14">
            <control shapeId="19631" r:id="rId80" name="Check Box 175">
              <controlPr defaultSize="0" autoFill="0" autoLine="0" autoPict="0">
                <anchor moveWithCells="1">
                  <from>
                    <xdr:col>11</xdr:col>
                    <xdr:colOff>6350</xdr:colOff>
                    <xdr:row>13</xdr:row>
                    <xdr:rowOff>177800</xdr:rowOff>
                  </from>
                  <to>
                    <xdr:col>13</xdr:col>
                    <xdr:colOff>292100</xdr:colOff>
                    <xdr:row>15</xdr:row>
                    <xdr:rowOff>19050</xdr:rowOff>
                  </to>
                </anchor>
              </controlPr>
            </control>
          </mc:Choice>
        </mc:AlternateContent>
        <mc:AlternateContent xmlns:mc="http://schemas.openxmlformats.org/markup-compatibility/2006">
          <mc:Choice Requires="x14">
            <control shapeId="19632" r:id="rId81" name="Check Box 176">
              <controlPr defaultSize="0" autoFill="0" autoLine="0" autoPict="0">
                <anchor moveWithCells="1">
                  <from>
                    <xdr:col>11</xdr:col>
                    <xdr:colOff>6350</xdr:colOff>
                    <xdr:row>14</xdr:row>
                    <xdr:rowOff>171450</xdr:rowOff>
                  </from>
                  <to>
                    <xdr:col>13</xdr:col>
                    <xdr:colOff>292100</xdr:colOff>
                    <xdr:row>16</xdr:row>
                    <xdr:rowOff>12700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9EC86-A6A7-47F0-8827-B1A562EC5948}">
  <sheetPr codeName="Sheet10">
    <tabColor theme="4" tint="0.79998168889431442"/>
  </sheetPr>
  <dimension ref="A1"/>
  <sheetViews>
    <sheetView workbookViewId="0">
      <selection activeCell="K29" sqref="K29"/>
    </sheetView>
  </sheetViews>
  <sheetFormatPr defaultRowHeight="14.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Hayley Boll</dc:creator>
  <cp:keywords/>
  <dc:description/>
  <cp:lastModifiedBy>Hayley Boll</cp:lastModifiedBy>
  <cp:revision/>
  <dcterms:created xsi:type="dcterms:W3CDTF">2022-09-05T18:25:37Z</dcterms:created>
  <dcterms:modified xsi:type="dcterms:W3CDTF">2025-03-06T03:21:22Z</dcterms:modified>
  <cp:category/>
  <cp:contentStatus/>
</cp:coreProperties>
</file>